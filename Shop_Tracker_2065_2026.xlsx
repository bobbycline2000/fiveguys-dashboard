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2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8"/>
    </font>
    <font>
      <name val="Arial"/>
      <color rgb="001A1A1A"/>
      <sz val="10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8"/>
    </font>
    <font>
      <name val="Arial"/>
      <b val="1"/>
      <color rgb="001A2A4A"/>
      <sz val="8"/>
    </font>
    <font>
      <name val="Arial"/>
      <b val="1"/>
      <color rgb="00D4A017"/>
      <sz val="8"/>
    </font>
    <font>
      <name val="Arial"/>
      <b val="1"/>
      <color rgb="00C8102E"/>
      <sz val="9"/>
    </font>
    <font>
      <name val="Arial"/>
      <b val="1"/>
      <color rgb="002E7D32"/>
      <sz val="10"/>
    </font>
    <font>
      <name val="Arial"/>
      <b val="1"/>
      <color rgb="00D4A017"/>
      <sz val="10"/>
    </font>
    <font>
      <name val="Arial"/>
      <b val="1"/>
      <color rgb="00C8102E"/>
      <sz val="10"/>
    </font>
    <font>
      <name val="Arial"/>
      <b val="1"/>
      <color rgb="004A7A0F"/>
      <sz val="10"/>
    </font>
    <font>
      <name val="Arial"/>
      <b val="1"/>
      <color rgb="001A1A1A"/>
      <sz val="9"/>
    </font>
    <font>
      <name val="Arial"/>
      <color rgb="00595959"/>
      <sz val="8"/>
    </font>
    <font>
      <name val="Arial"/>
      <b val="1"/>
      <color rgb="001A1A1A"/>
      <sz val="10"/>
    </font>
    <font>
      <name val="Arial"/>
      <color rgb="00595959"/>
      <sz val="9"/>
    </font>
    <font>
      <name val="Arial"/>
      <b val="1"/>
      <color rgb="002E7D32"/>
      <sz val="9"/>
    </font>
    <font>
      <name val="Arial"/>
      <b val="1"/>
      <color rgb="00FFFFFF"/>
      <sz val="8"/>
    </font>
    <font>
      <name val="Arial"/>
      <i val="1"/>
      <color rgb="00595959"/>
      <sz val="7"/>
    </font>
    <font>
      <name val="Arial"/>
      <color rgb="002E7D32"/>
      <sz val="8"/>
    </font>
    <font>
      <name val="Arial"/>
      <color rgb="00C8102E"/>
      <sz val="8"/>
    </font>
    <font>
      <name val="Arial"/>
      <color rgb="004A7A0F"/>
      <sz val="8"/>
    </font>
    <font>
      <name val="Arial"/>
      <color rgb="00D4A017"/>
      <sz val="8"/>
    </font>
  </fonts>
  <fills count="15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F2F2F2"/>
        <bgColor rgb="00F2F2F2"/>
      </patternFill>
    </fill>
    <fill>
      <patternFill patternType="solid">
        <fgColor rgb="003B1F1F"/>
        <bgColor rgb="003B1F1F"/>
      </patternFill>
    </fill>
    <fill>
      <patternFill patternType="solid">
        <fgColor rgb="00E8EEF8"/>
        <bgColor rgb="00E8EEF8"/>
      </patternFill>
    </fill>
    <fill>
      <patternFill patternType="solid">
        <fgColor rgb="00FFFBF0"/>
        <bgColor rgb="00FFFBF0"/>
      </patternFill>
    </fill>
    <fill>
      <patternFill patternType="solid">
        <fgColor rgb="00FDECEA"/>
        <bgColor rgb="00FDECEA"/>
      </patternFill>
    </fill>
    <fill>
      <patternFill patternType="solid">
        <fgColor rgb="00E8F5E9"/>
        <bgColor rgb="00E8F5E9"/>
      </patternFill>
    </fill>
    <fill>
      <patternFill patternType="solid">
        <fgColor rgb="00EFF8E8"/>
        <bgColor rgb="00EFF8E8"/>
      </patternFill>
    </fill>
    <fill>
      <patternFill patternType="solid">
        <fgColor rgb="00F9F9F9"/>
        <bgColor rgb="00F9F9F9"/>
      </patternFill>
    </fill>
    <fill>
      <patternFill patternType="solid">
        <fgColor rgb="00D0D0D0"/>
        <bgColor rgb="00D0D0D0"/>
      </patternFill>
    </fill>
    <fill>
      <patternFill patternType="solid">
        <fgColor rgb="001A2A4A"/>
        <bgColor rgb="001A2A4A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9" fontId="10" fillId="8" borderId="1" applyAlignment="1" pivotButton="0" quotePrefix="0" xfId="0">
      <alignment horizontal="center" vertical="center"/>
    </xf>
    <xf numFmtId="9" fontId="11" fillId="6" borderId="1" applyAlignment="1" pivotButton="0" quotePrefix="0" xfId="0">
      <alignment horizontal="center" vertical="center"/>
    </xf>
    <xf numFmtId="9" fontId="12" fillId="7" borderId="1" applyAlignment="1" pivotButton="0" quotePrefix="0" xfId="0">
      <alignment horizontal="center" vertical="center"/>
    </xf>
    <xf numFmtId="9" fontId="13" fillId="9" borderId="1" applyAlignment="1" pivotButton="0" quotePrefix="0" xfId="0">
      <alignment horizontal="center" vertical="center"/>
    </xf>
    <xf numFmtId="9" fontId="14" fillId="3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15" fillId="10" borderId="1" applyAlignment="1" pivotButton="0" quotePrefix="0" xfId="0">
      <alignment horizontal="left" vertical="center"/>
    </xf>
    <xf numFmtId="9" fontId="15" fillId="3" borderId="1" applyAlignment="1" pivotButton="0" quotePrefix="0" xfId="0">
      <alignment horizontal="center" vertical="center"/>
    </xf>
    <xf numFmtId="0" fontId="0" fillId="11" borderId="0" pivotButton="0" quotePrefix="0" xfId="0"/>
    <xf numFmtId="0" fontId="5" fillId="12" borderId="1" applyAlignment="1" pivotButton="0" quotePrefix="0" xfId="0">
      <alignment horizontal="left" vertical="center"/>
    </xf>
    <xf numFmtId="0" fontId="15" fillId="13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left" vertical="center"/>
    </xf>
    <xf numFmtId="0" fontId="10" fillId="8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164" fontId="18" fillId="8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15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19" fillId="4" borderId="1" applyAlignment="1" pivotButton="0" quotePrefix="0" xfId="0">
      <alignment horizontal="left" vertical="center"/>
    </xf>
    <xf numFmtId="164" fontId="4" fillId="4" borderId="1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/>
    </xf>
    <xf numFmtId="9" fontId="21" fillId="10" borderId="1" applyAlignment="1" pivotButton="0" quotePrefix="0" xfId="0">
      <alignment horizontal="center" vertical="center"/>
    </xf>
    <xf numFmtId="9" fontId="22" fillId="10" borderId="1" applyAlignment="1" pivotButton="0" quotePrefix="0" xfId="0">
      <alignment horizontal="center" vertical="center"/>
    </xf>
    <xf numFmtId="9" fontId="23" fillId="10" borderId="1" applyAlignment="1" pivotButton="0" quotePrefix="0" xfId="0">
      <alignment horizontal="center" vertical="center"/>
    </xf>
    <xf numFmtId="9" fontId="24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9" customWidth="1" min="21" max="21"/>
    <col width="7" customWidth="1" min="22" max="22"/>
    <col width="10" customWidth="1" min="23" max="23"/>
  </cols>
  <sheetData>
    <row r="1" ht="26" customHeight="1">
      <c r="A1" s="1" t="inlineStr">
        <is>
          <t>SECRET SHOPPER SCORES — JANUARY 2026</t>
        </is>
      </c>
    </row>
    <row r="2" ht="14" customHeight="1">
      <c r="A2" s="2" t="inlineStr">
        <is>
          <t>Five Guys Store 2065 · Louisville, KY · 18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5" t="inlineStr">
        <is>
          <t>#15</t>
        </is>
      </c>
      <c r="R4" s="5" t="inlineStr">
        <is>
          <t>#16</t>
        </is>
      </c>
      <c r="S4" s="5" t="inlineStr">
        <is>
          <t>#17</t>
        </is>
      </c>
      <c r="T4" s="5" t="inlineStr">
        <is>
          <t>#18</t>
        </is>
      </c>
      <c r="U4" s="6" t="inlineStr">
        <is>
          <t>AVG</t>
        </is>
      </c>
      <c r="V4" s="6" t="inlineStr">
        <is>
          <t>N</t>
        </is>
      </c>
      <c r="W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01/02</t>
        </is>
      </c>
      <c r="D5" s="9" t="inlineStr">
        <is>
          <t>01/03</t>
        </is>
      </c>
      <c r="E5" s="9" t="inlineStr">
        <is>
          <t>01/11</t>
        </is>
      </c>
      <c r="F5" s="9" t="inlineStr">
        <is>
          <t>01/12</t>
        </is>
      </c>
      <c r="G5" s="9" t="inlineStr">
        <is>
          <t>01/17</t>
        </is>
      </c>
      <c r="H5" s="9" t="inlineStr">
        <is>
          <t>01/22</t>
        </is>
      </c>
      <c r="I5" s="9" t="inlineStr">
        <is>
          <t>01/24</t>
        </is>
      </c>
      <c r="J5" s="9" t="inlineStr">
        <is>
          <t>01/25</t>
        </is>
      </c>
      <c r="K5" s="9" t="inlineStr">
        <is>
          <t>01/30</t>
        </is>
      </c>
      <c r="L5" s="9" t="inlineStr">
        <is>
          <t>01/31</t>
        </is>
      </c>
      <c r="M5" s="9" t="inlineStr">
        <is>
          <t>01/05</t>
        </is>
      </c>
      <c r="N5" s="9" t="inlineStr">
        <is>
          <t>01/09</t>
        </is>
      </c>
      <c r="O5" s="9" t="inlineStr">
        <is>
          <t>01/10</t>
        </is>
      </c>
      <c r="P5" s="9" t="inlineStr">
        <is>
          <t>01/16</t>
        </is>
      </c>
      <c r="Q5" s="9" t="inlineStr">
        <is>
          <t>01/23</t>
        </is>
      </c>
      <c r="R5" s="9" t="inlineStr">
        <is>
          <t>01/28</t>
        </is>
      </c>
      <c r="S5" s="9" t="inlineStr">
        <is>
          <t>01/29</t>
        </is>
      </c>
      <c r="T5" s="9" t="inlineStr">
        <is>
          <t>01/31</t>
        </is>
      </c>
      <c r="U5" s="7" t="inlineStr"/>
      <c r="V5" s="7" t="inlineStr"/>
      <c r="W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1" t="inlineStr">
        <is>
          <t>L</t>
        </is>
      </c>
      <c r="F6" s="10" t="inlineStr">
        <is>
          <t>D</t>
        </is>
      </c>
      <c r="G6" s="10" t="inlineStr">
        <is>
          <t>D</t>
        </is>
      </c>
      <c r="H6" s="11" t="inlineStr">
        <is>
          <t>L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10" t="inlineStr">
        <is>
          <t>D</t>
        </is>
      </c>
      <c r="Q6" s="11" t="inlineStr">
        <is>
          <t>L</t>
        </is>
      </c>
      <c r="R6" s="10" t="inlineStr">
        <is>
          <t>D</t>
        </is>
      </c>
      <c r="S6" s="10" t="inlineStr">
        <is>
          <t>D</t>
        </is>
      </c>
      <c r="T6" s="11" t="inlineStr">
        <is>
          <t>L</t>
        </is>
      </c>
      <c r="U6" s="7" t="inlineStr"/>
      <c r="V6" s="7" t="inlineStr"/>
      <c r="W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4" t="n">
        <v>1</v>
      </c>
      <c r="E7" s="14" t="n">
        <v>1</v>
      </c>
      <c r="F7" s="14" t="n">
        <v>1</v>
      </c>
      <c r="G7" s="15" t="n">
        <v>0.8</v>
      </c>
      <c r="H7" s="14" t="n">
        <v>1</v>
      </c>
      <c r="I7" s="15" t="n">
        <v>0.85</v>
      </c>
      <c r="J7" s="14" t="n">
        <v>1</v>
      </c>
      <c r="K7" s="16" t="n">
        <v>0</v>
      </c>
      <c r="L7" s="16" t="n">
        <v>0.48</v>
      </c>
      <c r="M7" s="17" t="n">
        <v>0.92</v>
      </c>
      <c r="N7" s="16" t="n">
        <v>0</v>
      </c>
      <c r="O7" s="15" t="n">
        <v>0.8</v>
      </c>
      <c r="P7" s="16" t="n">
        <v>0.72</v>
      </c>
      <c r="Q7" s="14" t="n">
        <v>1</v>
      </c>
      <c r="R7" s="14" t="n">
        <v>1</v>
      </c>
      <c r="S7" s="15" t="n">
        <v>0.8</v>
      </c>
      <c r="T7" s="15" t="n">
        <v>0.85</v>
      </c>
      <c r="U7" s="18">
        <f>IFERROR(AVERAGE(C7:T7),"")</f>
        <v/>
      </c>
      <c r="V7" s="12" t="inlineStr"/>
      <c r="W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19" t="inlineStr"/>
      <c r="M8" s="19" t="inlineStr"/>
      <c r="N8" s="19" t="inlineStr"/>
      <c r="O8" s="19" t="inlineStr"/>
      <c r="P8" s="19" t="inlineStr"/>
      <c r="Q8" s="19" t="inlineStr"/>
      <c r="R8" s="19" t="inlineStr"/>
      <c r="S8" s="19" t="inlineStr"/>
      <c r="T8" s="19" t="inlineStr"/>
      <c r="U8" s="21">
        <f>IFERROR(AVERAGE(C8:T8),"")</f>
        <v/>
      </c>
      <c r="V8" s="19" t="inlineStr"/>
      <c r="W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19" t="inlineStr"/>
      <c r="M9" s="19" t="inlineStr"/>
      <c r="N9" s="19" t="inlineStr"/>
      <c r="O9" s="19" t="inlineStr"/>
      <c r="P9" s="19" t="inlineStr"/>
      <c r="Q9" s="19" t="inlineStr"/>
      <c r="R9" s="19" t="inlineStr"/>
      <c r="S9" s="19" t="inlineStr"/>
      <c r="T9" s="19" t="inlineStr"/>
      <c r="U9" s="21">
        <f>IFERROR(AVERAGE(C9:T9),"")</f>
        <v/>
      </c>
      <c r="V9" s="19" t="inlineStr"/>
      <c r="W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19" t="inlineStr"/>
      <c r="M10" s="19" t="inlineStr"/>
      <c r="N10" s="19" t="inlineStr"/>
      <c r="O10" s="19" t="inlineStr"/>
      <c r="P10" s="19" t="inlineStr"/>
      <c r="Q10" s="19" t="inlineStr"/>
      <c r="R10" s="19" t="inlineStr"/>
      <c r="S10" s="19" t="inlineStr"/>
      <c r="T10" s="19" t="inlineStr"/>
      <c r="U10" s="21">
        <f>IFERROR(AVERAGE(C10:T10),"")</f>
        <v/>
      </c>
      <c r="V10" s="19" t="inlineStr"/>
      <c r="W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19" t="inlineStr"/>
      <c r="M11" s="19" t="inlineStr"/>
      <c r="N11" s="19" t="inlineStr"/>
      <c r="O11" s="19" t="inlineStr"/>
      <c r="P11" s="19" t="inlineStr"/>
      <c r="Q11" s="19" t="inlineStr"/>
      <c r="R11" s="19" t="inlineStr"/>
      <c r="S11" s="19" t="inlineStr"/>
      <c r="T11" s="19" t="inlineStr"/>
      <c r="U11" s="21">
        <f>IFERROR(AVERAGE(C11:T11),"")</f>
        <v/>
      </c>
      <c r="V11" s="19" t="inlineStr"/>
      <c r="W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7" t="n"/>
      <c r="E14" s="27" t="n"/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7" t="n"/>
      <c r="J14" s="26" t="inlineStr">
        <is>
          <t>Y</t>
        </is>
      </c>
      <c r="K14" s="26" t="inlineStr">
        <is>
          <t>Y</t>
        </is>
      </c>
      <c r="L14" s="26" t="inlineStr">
        <is>
          <t>Y</t>
        </is>
      </c>
      <c r="M14" s="27" t="n"/>
      <c r="N14" s="26" t="inlineStr">
        <is>
          <t>Y</t>
        </is>
      </c>
      <c r="O14" s="27" t="n"/>
      <c r="P14" s="26" t="inlineStr">
        <is>
          <t>Y</t>
        </is>
      </c>
      <c r="Q14" s="26" t="inlineStr">
        <is>
          <t>Y</t>
        </is>
      </c>
      <c r="R14" s="26" t="inlineStr">
        <is>
          <t>Y</t>
        </is>
      </c>
      <c r="S14" s="26" t="inlineStr">
        <is>
          <t>Y</t>
        </is>
      </c>
      <c r="T14" s="26" t="inlineStr">
        <is>
          <t>Y</t>
        </is>
      </c>
      <c r="U14" s="18">
        <f>IFERROR(AVERAGEIFS($C$7:$T$7,C14:T14,"Y"),"")</f>
        <v/>
      </c>
      <c r="V14" s="28">
        <f>COUNTIF(C14:T14,"Y")</f>
        <v/>
      </c>
      <c r="W14" s="29">
        <f>SUMPRODUCT((C$7:$T$7=1)*(C14:T14="Y"))*50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7" t="n"/>
      <c r="O15" s="27" t="n"/>
      <c r="P15" s="27" t="n"/>
      <c r="Q15" s="26" t="inlineStr">
        <is>
          <t>Y</t>
        </is>
      </c>
      <c r="R15" s="27" t="n"/>
      <c r="S15" s="27" t="n"/>
      <c r="T15" s="27" t="n"/>
      <c r="U15" s="18">
        <f>IFERROR(AVERAGEIFS($C$7:$T$7,C15:T15,"Y"),"")</f>
        <v/>
      </c>
      <c r="V15" s="28">
        <f>COUNTIF(C15:T15,"Y")</f>
        <v/>
      </c>
      <c r="W15" s="29">
        <f>SUMPRODUCT((C$7:$T$7=1)*(C15:T15="Y"))*50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6" t="inlineStr">
        <is>
          <t>Y</t>
        </is>
      </c>
      <c r="O16" s="27" t="n"/>
      <c r="P16" s="27" t="n"/>
      <c r="Q16" s="27" t="n"/>
      <c r="R16" s="27" t="n"/>
      <c r="S16" s="27" t="n"/>
      <c r="T16" s="27" t="n"/>
      <c r="U16" s="18">
        <f>IFERROR(AVERAGEIFS($C$7:$T$7,C16:T16,"Y"),"")</f>
        <v/>
      </c>
      <c r="V16" s="28">
        <f>COUNTIF(C16:T16,"Y")</f>
        <v/>
      </c>
      <c r="W16" s="29">
        <f>SUMPRODUCT((C$7:$T$7=1)*(C16:T16="Y"))*50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27" t="n"/>
      <c r="S17" s="27" t="n"/>
      <c r="T17" s="27" t="n"/>
      <c r="U17" s="18">
        <f>IFERROR(AVERAGEIFS($C$7:$T$7,C17:T17,"Y"),"")</f>
        <v/>
      </c>
      <c r="V17" s="28">
        <f>COUNTIF(C17:T17,"Y")</f>
        <v/>
      </c>
      <c r="W17" s="29">
        <f>SUMPRODUCT((C$7:$T$7=1)*(C17:T17="Y"))*50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18">
        <f>IFERROR(AVERAGEIFS($C$7:$T$7,C20:T20,"Y"),"")</f>
        <v/>
      </c>
      <c r="V20" s="28">
        <f>COUNTIF(C20:T20,"Y")</f>
        <v/>
      </c>
      <c r="W20" s="29">
        <f>SUMPRODUCT((C$7:$T$7=1)*(C20:T20="Y"))*50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26" t="inlineStr">
        <is>
          <t>Y</t>
        </is>
      </c>
      <c r="N21" s="19" t="n"/>
      <c r="O21" s="26" t="inlineStr">
        <is>
          <t>Y</t>
        </is>
      </c>
      <c r="P21" s="19" t="n"/>
      <c r="Q21" s="19" t="n"/>
      <c r="R21" s="26" t="inlineStr">
        <is>
          <t>Y</t>
        </is>
      </c>
      <c r="S21" s="19" t="n"/>
      <c r="T21" s="19" t="n"/>
      <c r="U21" s="18">
        <f>IFERROR(AVERAGEIFS($C$7:$T$7,C21:T21,"Y"),"")</f>
        <v/>
      </c>
      <c r="V21" s="28">
        <f>COUNTIF(C21:T21,"Y")</f>
        <v/>
      </c>
      <c r="W21" s="29">
        <f>SUMPRODUCT((C$7:$T$7=1)*(C21:T21="Y"))*50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33" t="n"/>
      <c r="O22" s="33" t="n"/>
      <c r="P22" s="33" t="n"/>
      <c r="Q22" s="33" t="n"/>
      <c r="R22" s="26" t="inlineStr">
        <is>
          <t>Y</t>
        </is>
      </c>
      <c r="S22" s="26" t="inlineStr">
        <is>
          <t>Y</t>
        </is>
      </c>
      <c r="T22" s="33" t="n"/>
      <c r="U22" s="18">
        <f>IFERROR(AVERAGEIFS($C$7:$T$7,C22:T22,"Y"),"")</f>
        <v/>
      </c>
      <c r="V22" s="28">
        <f>COUNTIF(C22:T22,"Y")</f>
        <v/>
      </c>
      <c r="W22" s="29">
        <f>SUMPRODUCT((C$7:$T$7=1)*(C22:T22="Y"))*50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26" t="inlineStr">
        <is>
          <t>Y</t>
        </is>
      </c>
      <c r="S23" s="19" t="n"/>
      <c r="T23" s="19" t="n"/>
      <c r="U23" s="18">
        <f>IFERROR(AVERAGEIFS($C$7:$T$7,C23:T23,"Y"),"")</f>
        <v/>
      </c>
      <c r="V23" s="28">
        <f>COUNTIF(C23:T23,"Y")</f>
        <v/>
      </c>
      <c r="W23" s="29">
        <f>SUMPRODUCT((C$7:$T$7=1)*(C23:T23="Y"))*50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18">
        <f>IFERROR(AVERAGEIFS($C$7:$T$7,C24:T24,"Y"),"")</f>
        <v/>
      </c>
      <c r="V24" s="28">
        <f>COUNTIF(C24:T24,"Y")</f>
        <v/>
      </c>
      <c r="W24" s="29">
        <f>SUMPRODUCT((C$7:$T$7=1)*(C24:T24="Y"))*50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8">
        <f>IFERROR(AVERAGEIFS($C$7:$T$7,C25:T25,"Y"),"")</f>
        <v/>
      </c>
      <c r="V25" s="28">
        <f>COUNTIF(C25:T25,"Y")</f>
        <v/>
      </c>
      <c r="W25" s="29">
        <f>SUMPRODUCT((C$7:$T$7=1)*(C25:T25="Y"))*50</f>
        <v/>
      </c>
    </row>
    <row r="26" ht="17" customHeight="1">
      <c r="A26" s="31" t="n">
        <v>7</v>
      </c>
      <c r="B26" s="32" t="inlineStr">
        <is>
          <t>Francisco</t>
        </is>
      </c>
      <c r="C26" s="33" t="n"/>
      <c r="D26" s="26" t="inlineStr">
        <is>
          <t>Y</t>
        </is>
      </c>
      <c r="E26" s="26" t="inlineStr">
        <is>
          <t>Y</t>
        </is>
      </c>
      <c r="F26" s="26" t="inlineStr">
        <is>
          <t>Y</t>
        </is>
      </c>
      <c r="G26" s="33" t="n"/>
      <c r="H26" s="33" t="n"/>
      <c r="I26" s="26" t="inlineStr">
        <is>
          <t>Y</t>
        </is>
      </c>
      <c r="J26" s="26" t="inlineStr">
        <is>
          <t>Y</t>
        </is>
      </c>
      <c r="K26" s="33" t="n"/>
      <c r="L26" s="33" t="n"/>
      <c r="M26" s="26" t="inlineStr">
        <is>
          <t>Y</t>
        </is>
      </c>
      <c r="N26" s="26" t="inlineStr">
        <is>
          <t>Y</t>
        </is>
      </c>
      <c r="O26" s="33" t="n"/>
      <c r="P26" s="26" t="inlineStr">
        <is>
          <t>Y</t>
        </is>
      </c>
      <c r="Q26" s="26" t="inlineStr">
        <is>
          <t>Y</t>
        </is>
      </c>
      <c r="R26" s="33" t="n"/>
      <c r="S26" s="33" t="n"/>
      <c r="T26" s="26" t="inlineStr">
        <is>
          <t>Y</t>
        </is>
      </c>
      <c r="U26" s="18">
        <f>IFERROR(AVERAGEIFS($C$7:$T$7,C26:T26,"Y"),"")</f>
        <v/>
      </c>
      <c r="V26" s="28">
        <f>COUNTIF(C26:T26,"Y")</f>
        <v/>
      </c>
      <c r="W26" s="29">
        <f>SUMPRODUCT((C$7:$T$7=1)*(C26:T26="Y"))*50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18">
        <f>IFERROR(AVERAGEIFS($C$7:$T$7,C27:T27,"Y"),"")</f>
        <v/>
      </c>
      <c r="V27" s="28">
        <f>COUNTIF(C27:T27,"Y")</f>
        <v/>
      </c>
      <c r="W27" s="29">
        <f>SUMPRODUCT((C$7:$T$7=1)*(C27:T27="Y"))*50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33" t="n"/>
      <c r="P28" s="33" t="n"/>
      <c r="Q28" s="33" t="n"/>
      <c r="R28" s="33" t="n"/>
      <c r="S28" s="33" t="n"/>
      <c r="T28" s="33" t="n"/>
      <c r="U28" s="18">
        <f>IFERROR(AVERAGEIFS($C$7:$T$7,C28:T28,"Y"),"")</f>
        <v/>
      </c>
      <c r="V28" s="28">
        <f>COUNTIF(C28:T28,"Y")</f>
        <v/>
      </c>
      <c r="W28" s="29">
        <f>SUMPRODUCT((C$7:$T$7=1)*(C28:T28="Y"))*50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26" t="inlineStr">
        <is>
          <t>Y</t>
        </is>
      </c>
      <c r="P29" s="26" t="inlineStr">
        <is>
          <t>Y</t>
        </is>
      </c>
      <c r="Q29" s="26" t="inlineStr">
        <is>
          <t>Y</t>
        </is>
      </c>
      <c r="R29" s="19" t="n"/>
      <c r="S29" s="19" t="n"/>
      <c r="T29" s="26" t="inlineStr">
        <is>
          <t>Y</t>
        </is>
      </c>
      <c r="U29" s="18">
        <f>IFERROR(AVERAGEIFS($C$7:$T$7,C29:T29,"Y"),"")</f>
        <v/>
      </c>
      <c r="V29" s="28">
        <f>COUNTIF(C29:T29,"Y")</f>
        <v/>
      </c>
      <c r="W29" s="29">
        <f>SUMPRODUCT((C$7:$T$7=1)*(C29:T29="Y"))*50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18">
        <f>IFERROR(AVERAGEIFS($C$7:$T$7,C30:T30,"Y"),"")</f>
        <v/>
      </c>
      <c r="V30" s="28">
        <f>COUNTIF(C30:T30,"Y")</f>
        <v/>
      </c>
      <c r="W30" s="29">
        <f>SUMPRODUCT((C$7:$T$7=1)*(C30:T30="Y"))*50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8">
        <f>IFERROR(AVERAGEIFS($C$7:$T$7,C31:T31,"Y"),"")</f>
        <v/>
      </c>
      <c r="V31" s="28">
        <f>COUNTIF(C31:T31,"Y")</f>
        <v/>
      </c>
      <c r="W31" s="29">
        <f>SUMPRODUCT((C$7:$T$7=1)*(C31:T31="Y"))*50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18">
        <f>IFERROR(AVERAGEIFS($C$7:$T$7,C32:T32,"Y"),"")</f>
        <v/>
      </c>
      <c r="V32" s="28">
        <f>COUNTIF(C32:T32,"Y")</f>
        <v/>
      </c>
      <c r="W32" s="29">
        <f>SUMPRODUCT((C$7:$T$7=1)*(C32:T32="Y"))*50</f>
        <v/>
      </c>
    </row>
    <row r="33" ht="17" customHeight="1">
      <c r="A33" s="34" t="n">
        <v>14</v>
      </c>
      <c r="B33" s="35" t="inlineStr">
        <is>
          <t>Lidy</t>
        </is>
      </c>
      <c r="C33" s="26" t="inlineStr">
        <is>
          <t>Y</t>
        </is>
      </c>
      <c r="D33" s="26" t="inlineStr">
        <is>
          <t>Y</t>
        </is>
      </c>
      <c r="E33" s="26" t="inlineStr">
        <is>
          <t>Y</t>
        </is>
      </c>
      <c r="F33" s="26" t="inlineStr">
        <is>
          <t>Y</t>
        </is>
      </c>
      <c r="G33" s="26" t="inlineStr">
        <is>
          <t>Y</t>
        </is>
      </c>
      <c r="H33" s="19" t="n"/>
      <c r="I33" s="26" t="inlineStr">
        <is>
          <t>Y</t>
        </is>
      </c>
      <c r="J33" s="26" t="inlineStr">
        <is>
          <t>Y</t>
        </is>
      </c>
      <c r="K33" s="26" t="inlineStr">
        <is>
          <t>Y</t>
        </is>
      </c>
      <c r="L33" s="19" t="n"/>
      <c r="M33" s="19" t="n"/>
      <c r="N33" s="19" t="n"/>
      <c r="O33" s="26" t="inlineStr">
        <is>
          <t>Y</t>
        </is>
      </c>
      <c r="P33" s="19" t="n"/>
      <c r="Q33" s="26" t="inlineStr">
        <is>
          <t>Y</t>
        </is>
      </c>
      <c r="R33" s="19" t="n"/>
      <c r="S33" s="19" t="n"/>
      <c r="T33" s="26" t="inlineStr">
        <is>
          <t>Y</t>
        </is>
      </c>
      <c r="U33" s="18">
        <f>IFERROR(AVERAGEIFS($C$7:$T$7,C33:T33,"Y"),"")</f>
        <v/>
      </c>
      <c r="V33" s="28">
        <f>COUNTIF(C33:T33,"Y")</f>
        <v/>
      </c>
      <c r="W33" s="29">
        <f>SUMPRODUCT((C$7:$T$7=1)*(C33:T33="Y"))*50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26" t="inlineStr">
        <is>
          <t>Y</t>
        </is>
      </c>
      <c r="E34" s="33" t="n"/>
      <c r="F34" s="33" t="n"/>
      <c r="G34" s="33" t="n"/>
      <c r="H34" s="33" t="n"/>
      <c r="I34" s="26" t="inlineStr">
        <is>
          <t>Y</t>
        </is>
      </c>
      <c r="J34" s="33" t="n"/>
      <c r="K34" s="26" t="inlineStr">
        <is>
          <t>Y</t>
        </is>
      </c>
      <c r="L34" s="33" t="n"/>
      <c r="M34" s="33" t="n"/>
      <c r="N34" s="26" t="inlineStr">
        <is>
          <t>Y</t>
        </is>
      </c>
      <c r="O34" s="33" t="n"/>
      <c r="P34" s="26" t="inlineStr">
        <is>
          <t>Y</t>
        </is>
      </c>
      <c r="Q34" s="26" t="inlineStr">
        <is>
          <t>Y</t>
        </is>
      </c>
      <c r="R34" s="33" t="n"/>
      <c r="S34" s="26" t="inlineStr">
        <is>
          <t>Y</t>
        </is>
      </c>
      <c r="T34" s="33" t="n"/>
      <c r="U34" s="18">
        <f>IFERROR(AVERAGEIFS($C$7:$T$7,C34:T34,"Y"),"")</f>
        <v/>
      </c>
      <c r="V34" s="28">
        <f>COUNTIF(C34:T34,"Y")</f>
        <v/>
      </c>
      <c r="W34" s="29">
        <f>SUMPRODUCT((C$7:$T$7=1)*(C34:T34="Y"))*50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26" t="inlineStr">
        <is>
          <t>Y</t>
        </is>
      </c>
      <c r="N35" s="19" t="n"/>
      <c r="O35" s="26" t="inlineStr">
        <is>
          <t>Y</t>
        </is>
      </c>
      <c r="P35" s="26" t="inlineStr">
        <is>
          <t>Y</t>
        </is>
      </c>
      <c r="Q35" s="19" t="n"/>
      <c r="R35" s="19" t="n"/>
      <c r="S35" s="26" t="inlineStr">
        <is>
          <t>Y</t>
        </is>
      </c>
      <c r="T35" s="26" t="inlineStr">
        <is>
          <t>Y</t>
        </is>
      </c>
      <c r="U35" s="18">
        <f>IFERROR(AVERAGEIFS($C$7:$T$7,C35:T35,"Y"),"")</f>
        <v/>
      </c>
      <c r="V35" s="28">
        <f>COUNTIF(C35:T35,"Y")</f>
        <v/>
      </c>
      <c r="W35" s="29">
        <f>SUMPRODUCT((C$7:$T$7=1)*(C35:T35="Y"))*50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18">
        <f>IFERROR(AVERAGEIFS($C$7:$T$7,C36:T36,"Y"),"")</f>
        <v/>
      </c>
      <c r="V36" s="28">
        <f>COUNTIF(C36:T36,"Y")</f>
        <v/>
      </c>
      <c r="W36" s="29">
        <f>SUMPRODUCT((C$7:$T$7=1)*(C36:T36="Y"))*50</f>
        <v/>
      </c>
    </row>
    <row r="37" ht="17" customHeight="1">
      <c r="A37" s="34" t="n">
        <v>18</v>
      </c>
      <c r="B37" s="35" t="inlineStr">
        <is>
          <t>Samuel</t>
        </is>
      </c>
      <c r="C37" s="26" t="inlineStr">
        <is>
          <t>Y</t>
        </is>
      </c>
      <c r="D37" s="19" t="n"/>
      <c r="E37" s="19" t="n"/>
      <c r="F37" s="19" t="n"/>
      <c r="G37" s="26" t="inlineStr">
        <is>
          <t>Y</t>
        </is>
      </c>
      <c r="H37" s="19" t="n"/>
      <c r="I37" s="19" t="n"/>
      <c r="J37" s="26" t="inlineStr">
        <is>
          <t>Y</t>
        </is>
      </c>
      <c r="K37" s="19" t="n"/>
      <c r="L37" s="26" t="inlineStr">
        <is>
          <t>Y</t>
        </is>
      </c>
      <c r="M37" s="19" t="n"/>
      <c r="N37" s="26" t="inlineStr">
        <is>
          <t>Y</t>
        </is>
      </c>
      <c r="O37" s="19" t="n"/>
      <c r="P37" s="26" t="inlineStr">
        <is>
          <t>Y</t>
        </is>
      </c>
      <c r="Q37" s="19" t="n"/>
      <c r="R37" s="26" t="inlineStr">
        <is>
          <t>Y</t>
        </is>
      </c>
      <c r="S37" s="26" t="inlineStr">
        <is>
          <t>Y</t>
        </is>
      </c>
      <c r="T37" s="19" t="n"/>
      <c r="U37" s="18">
        <f>IFERROR(AVERAGEIFS($C$7:$T$7,C37:T37,"Y"),"")</f>
        <v/>
      </c>
      <c r="V37" s="28">
        <f>COUNTIF(C37:T37,"Y")</f>
        <v/>
      </c>
      <c r="W37" s="29">
        <f>SUMPRODUCT((C$7:$T$7=1)*(C37:T37="Y"))*50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18">
        <f>IFERROR(AVERAGEIFS($C$7:$T$7,C38:T38,"Y"),"")</f>
        <v/>
      </c>
      <c r="V38" s="28">
        <f>COUNTIF(C38:T38,"Y")</f>
        <v/>
      </c>
      <c r="W38" s="29">
        <f>SUMPRODUCT((C$7:$T$7=1)*(C38:T38="Y"))*50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6">
        <f>COUNTIF(P14:P38,"Y")</f>
        <v/>
      </c>
      <c r="Q39" s="6">
        <f>COUNTIF(Q14:Q38,"Y")</f>
        <v/>
      </c>
      <c r="R39" s="6">
        <f>COUNTIF(R14:R38,"Y")</f>
        <v/>
      </c>
      <c r="S39" s="6">
        <f>COUNTIF(S14:S38,"Y")</f>
        <v/>
      </c>
      <c r="T39" s="6">
        <f>COUNTIF(T14:T38,"Y")</f>
        <v/>
      </c>
      <c r="U39" s="3" t="inlineStr"/>
      <c r="V39" s="6">
        <f>SUM(V14:V38)</f>
        <v/>
      </c>
      <c r="W39" s="37">
        <f>SUM(W14:W38)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3:W13"/>
    <mergeCell ref="A1:W1"/>
    <mergeCell ref="A40:W40"/>
    <mergeCell ref="A18:W18"/>
    <mergeCell ref="A12:W12"/>
    <mergeCell ref="A2:W2"/>
    <mergeCell ref="A19:W19"/>
  </mergeCells>
  <printOptions horizontalCentered="1"/>
  <pageMargins left="0.75" right="0.75" top="1" bottom="1" header="0.5" footer="0.5"/>
  <pageSetup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9" customWidth="1" min="15" max="15"/>
    <col width="7" customWidth="1" min="16" max="16"/>
    <col width="10" customWidth="1" min="17" max="17"/>
  </cols>
  <sheetData>
    <row r="1" ht="26" customHeight="1">
      <c r="A1" s="1" t="inlineStr">
        <is>
          <t>SECRET SHOPPER SCORES — FEBRUARY 2026</t>
        </is>
      </c>
    </row>
    <row r="2" ht="14" customHeight="1">
      <c r="A2" s="2" t="inlineStr">
        <is>
          <t>Five Guys Store 2065 · Louisville, KY · 12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6" t="inlineStr">
        <is>
          <t>AVG</t>
        </is>
      </c>
      <c r="P4" s="6" t="inlineStr">
        <is>
          <t>N</t>
        </is>
      </c>
      <c r="Q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02/06</t>
        </is>
      </c>
      <c r="D5" s="9" t="inlineStr">
        <is>
          <t>02/08</t>
        </is>
      </c>
      <c r="E5" s="9" t="inlineStr">
        <is>
          <t>02/13</t>
        </is>
      </c>
      <c r="F5" s="9" t="inlineStr">
        <is>
          <t>02/15</t>
        </is>
      </c>
      <c r="G5" s="9" t="inlineStr">
        <is>
          <t>02/23</t>
        </is>
      </c>
      <c r="H5" s="9" t="inlineStr">
        <is>
          <t>02/27</t>
        </is>
      </c>
      <c r="I5" s="9" t="inlineStr">
        <is>
          <t>02/07</t>
        </is>
      </c>
      <c r="J5" s="9" t="inlineStr">
        <is>
          <t>02/12</t>
        </is>
      </c>
      <c r="K5" s="9" t="inlineStr">
        <is>
          <t>02/19</t>
        </is>
      </c>
      <c r="L5" s="9" t="inlineStr">
        <is>
          <t>02/22</t>
        </is>
      </c>
      <c r="M5" s="9" t="inlineStr">
        <is>
          <t>02/27</t>
        </is>
      </c>
      <c r="N5" s="9" t="inlineStr">
        <is>
          <t>02/28</t>
        </is>
      </c>
      <c r="O5" s="7" t="inlineStr"/>
      <c r="P5" s="7" t="inlineStr"/>
      <c r="Q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0" t="inlineStr">
        <is>
          <t>D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7" t="inlineStr"/>
      <c r="P6" s="7" t="inlineStr"/>
      <c r="Q6" s="7" t="inlineStr"/>
    </row>
    <row r="7" ht="18" customHeight="1">
      <c r="A7" s="12" t="inlineStr"/>
      <c r="B7" s="13" t="inlineStr">
        <is>
          <t>Total Score</t>
        </is>
      </c>
      <c r="C7" s="17" t="n">
        <v>0.95</v>
      </c>
      <c r="D7" s="16" t="n">
        <v>0</v>
      </c>
      <c r="E7" s="14" t="n">
        <v>1</v>
      </c>
      <c r="F7" s="17" t="n">
        <v>0.9</v>
      </c>
      <c r="G7" s="16" t="n">
        <v>0.72</v>
      </c>
      <c r="H7" s="16" t="n">
        <v>0</v>
      </c>
      <c r="I7" s="14" t="n">
        <v>1</v>
      </c>
      <c r="J7" s="14" t="n">
        <v>1</v>
      </c>
      <c r="K7" s="16" t="n">
        <v>0.6899999999999999</v>
      </c>
      <c r="L7" s="14" t="n">
        <v>1</v>
      </c>
      <c r="M7" s="14" t="n">
        <v>1</v>
      </c>
      <c r="N7" s="17" t="n">
        <v>0.95</v>
      </c>
      <c r="O7" s="18">
        <f>IFERROR(AVERAGE(C7:N7),"")</f>
        <v/>
      </c>
      <c r="P7" s="12" t="inlineStr"/>
      <c r="Q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39" t="n">
        <v>1</v>
      </c>
      <c r="J8" s="39" t="n">
        <v>1</v>
      </c>
      <c r="K8" s="40" t="n">
        <v>0.6899999999999999</v>
      </c>
      <c r="L8" s="39" t="n">
        <v>1</v>
      </c>
      <c r="M8" s="39" t="n">
        <v>1</v>
      </c>
      <c r="N8" s="41" t="n">
        <v>0.95</v>
      </c>
      <c r="O8" s="21">
        <f>IFERROR(AVERAGE(C8:N8),"")</f>
        <v/>
      </c>
      <c r="P8" s="19" t="inlineStr"/>
      <c r="Q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39" t="n">
        <v>1</v>
      </c>
      <c r="J9" s="39" t="n">
        <v>1</v>
      </c>
      <c r="K9" s="39" t="n">
        <v>1</v>
      </c>
      <c r="L9" s="39" t="n">
        <v>1</v>
      </c>
      <c r="M9" s="39" t="n">
        <v>1</v>
      </c>
      <c r="N9" s="39" t="n">
        <v>1</v>
      </c>
      <c r="O9" s="21">
        <f>IFERROR(AVERAGE(C9:N9),"")</f>
        <v/>
      </c>
      <c r="P9" s="19" t="inlineStr"/>
      <c r="Q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39" t="n">
        <v>1</v>
      </c>
      <c r="J10" s="39" t="n">
        <v>1</v>
      </c>
      <c r="K10" s="39" t="n">
        <v>1</v>
      </c>
      <c r="L10" s="39" t="n">
        <v>1</v>
      </c>
      <c r="M10" s="39" t="n">
        <v>1</v>
      </c>
      <c r="N10" s="39" t="n">
        <v>1</v>
      </c>
      <c r="O10" s="21">
        <f>IFERROR(AVERAGE(C10:N10),"")</f>
        <v/>
      </c>
      <c r="P10" s="19" t="inlineStr"/>
      <c r="Q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39" t="n">
        <v>1</v>
      </c>
      <c r="J11" s="39" t="n">
        <v>1</v>
      </c>
      <c r="K11" s="39" t="n">
        <v>1</v>
      </c>
      <c r="L11" s="39" t="n">
        <v>1</v>
      </c>
      <c r="M11" s="39" t="n">
        <v>1</v>
      </c>
      <c r="N11" s="39" t="n">
        <v>1</v>
      </c>
      <c r="O11" s="21">
        <f>IFERROR(AVERAGE(C11:N11),"")</f>
        <v/>
      </c>
      <c r="P11" s="19" t="inlineStr"/>
      <c r="Q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7" t="n"/>
      <c r="E14" s="27" t="n"/>
      <c r="F14" s="26" t="inlineStr">
        <is>
          <t>Y</t>
        </is>
      </c>
      <c r="G14" s="27" t="n"/>
      <c r="H14" s="26" t="inlineStr">
        <is>
          <t>Y</t>
        </is>
      </c>
      <c r="I14" s="26" t="inlineStr">
        <is>
          <t>Y</t>
        </is>
      </c>
      <c r="J14" s="26" t="inlineStr">
        <is>
          <t>Y</t>
        </is>
      </c>
      <c r="K14" s="27" t="n"/>
      <c r="L14" s="26" t="inlineStr">
        <is>
          <t>Y</t>
        </is>
      </c>
      <c r="M14" s="27" t="n"/>
      <c r="N14" s="26" t="inlineStr">
        <is>
          <t>Y</t>
        </is>
      </c>
      <c r="O14" s="18">
        <f>IFERROR(AVERAGEIFS($C$7:$N$7,C14:N14,"Y"),"")</f>
        <v/>
      </c>
      <c r="P14" s="28">
        <f>COUNTIF(C14:N14,"Y")</f>
        <v/>
      </c>
      <c r="Q14" s="29">
        <f>SUMPRODUCT((C$7:$N$7=1)*(C14:N14="Y"))*50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18">
        <f>IFERROR(AVERAGEIFS($C$7:$N$7,C15:N15,"Y"),"")</f>
        <v/>
      </c>
      <c r="P15" s="28">
        <f>COUNTIF(C15:N15,"Y")</f>
        <v/>
      </c>
      <c r="Q15" s="29">
        <f>SUMPRODUCT((C$7:$N$7=1)*(C15:N15="Y"))*50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6" t="inlineStr">
        <is>
          <t>Y</t>
        </is>
      </c>
      <c r="M16" s="27" t="n"/>
      <c r="N16" s="26" t="inlineStr">
        <is>
          <t>Y</t>
        </is>
      </c>
      <c r="O16" s="18">
        <f>IFERROR(AVERAGEIFS($C$7:$N$7,C16:N16,"Y"),"")</f>
        <v/>
      </c>
      <c r="P16" s="28">
        <f>COUNTIF(C16:N16,"Y")</f>
        <v/>
      </c>
      <c r="Q16" s="29">
        <f>SUMPRODUCT((C$7:$N$7=1)*(C16:N16="Y"))*50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18">
        <f>IFERROR(AVERAGEIFS($C$7:$N$7,C17:N17,"Y"),"")</f>
        <v/>
      </c>
      <c r="P17" s="28">
        <f>COUNTIF(C17:N17,"Y")</f>
        <v/>
      </c>
      <c r="Q17" s="29">
        <f>SUMPRODUCT((C$7:$N$7=1)*(C17:N17="Y"))*50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18">
        <f>IFERROR(AVERAGEIFS($C$7:$N$7,C20:N20,"Y"),"")</f>
        <v/>
      </c>
      <c r="P20" s="28">
        <f>COUNTIF(C20:N20,"Y")</f>
        <v/>
      </c>
      <c r="Q20" s="29">
        <f>SUMPRODUCT((C$7:$N$7=1)*(C20:N20="Y"))*50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8">
        <f>IFERROR(AVERAGEIFS($C$7:$N$7,C21:N21,"Y"),"")</f>
        <v/>
      </c>
      <c r="P21" s="28">
        <f>COUNTIF(C21:N21,"Y")</f>
        <v/>
      </c>
      <c r="Q21" s="29">
        <f>SUMPRODUCT((C$7:$N$7=1)*(C21:N21="Y"))*50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26" t="inlineStr">
        <is>
          <t>Y</t>
        </is>
      </c>
      <c r="O22" s="18">
        <f>IFERROR(AVERAGEIFS($C$7:$N$7,C22:N22,"Y"),"")</f>
        <v/>
      </c>
      <c r="P22" s="28">
        <f>COUNTIF(C22:N22,"Y")</f>
        <v/>
      </c>
      <c r="Q22" s="29">
        <f>SUMPRODUCT((C$7:$N$7=1)*(C22:N22="Y"))*50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8">
        <f>IFERROR(AVERAGEIFS($C$7:$N$7,C23:N23,"Y"),"")</f>
        <v/>
      </c>
      <c r="P23" s="28">
        <f>COUNTIF(C23:N23,"Y")</f>
        <v/>
      </c>
      <c r="Q23" s="29">
        <f>SUMPRODUCT((C$7:$N$7=1)*(C23:N23="Y"))*50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18">
        <f>IFERROR(AVERAGEIFS($C$7:$N$7,C24:N24,"Y"),"")</f>
        <v/>
      </c>
      <c r="P24" s="28">
        <f>COUNTIF(C24:N24,"Y")</f>
        <v/>
      </c>
      <c r="Q24" s="29">
        <f>SUMPRODUCT((C$7:$N$7=1)*(C24:N24="Y"))*50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8">
        <f>IFERROR(AVERAGEIFS($C$7:$N$7,C25:N25,"Y"),"")</f>
        <v/>
      </c>
      <c r="P25" s="28">
        <f>COUNTIF(C25:N25,"Y")</f>
        <v/>
      </c>
      <c r="Q25" s="29">
        <f>SUMPRODUCT((C$7:$N$7=1)*(C25:N25="Y"))*50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33" t="n"/>
      <c r="E26" s="33" t="n"/>
      <c r="F26" s="26" t="inlineStr">
        <is>
          <t>Y</t>
        </is>
      </c>
      <c r="G26" s="33" t="n"/>
      <c r="H26" s="26" t="inlineStr">
        <is>
          <t>Y</t>
        </is>
      </c>
      <c r="I26" s="26" t="inlineStr">
        <is>
          <t>Y</t>
        </is>
      </c>
      <c r="J26" s="33" t="n"/>
      <c r="K26" s="26" t="inlineStr">
        <is>
          <t>Y</t>
        </is>
      </c>
      <c r="L26" s="33" t="n"/>
      <c r="M26" s="26" t="inlineStr">
        <is>
          <t>Y</t>
        </is>
      </c>
      <c r="N26" s="33" t="n"/>
      <c r="O26" s="18">
        <f>IFERROR(AVERAGEIFS($C$7:$N$7,C26:N26,"Y"),"")</f>
        <v/>
      </c>
      <c r="P26" s="28">
        <f>COUNTIF(C26:N26,"Y")</f>
        <v/>
      </c>
      <c r="Q26" s="29">
        <f>SUMPRODUCT((C$7:$N$7=1)*(C26:N26="Y"))*50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8">
        <f>IFERROR(AVERAGEIFS($C$7:$N$7,C27:N27,"Y"),"")</f>
        <v/>
      </c>
      <c r="P27" s="28">
        <f>COUNTIF(C27:N27,"Y")</f>
        <v/>
      </c>
      <c r="Q27" s="29">
        <f>SUMPRODUCT((C$7:$N$7=1)*(C27:N27="Y"))*50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26" t="inlineStr">
        <is>
          <t>Y</t>
        </is>
      </c>
      <c r="M28" s="33" t="n"/>
      <c r="N28" s="26" t="inlineStr">
        <is>
          <t>Y</t>
        </is>
      </c>
      <c r="O28" s="18">
        <f>IFERROR(AVERAGEIFS($C$7:$N$7,C28:N28,"Y"),"")</f>
        <v/>
      </c>
      <c r="P28" s="28">
        <f>COUNTIF(C28:N28,"Y")</f>
        <v/>
      </c>
      <c r="Q28" s="29">
        <f>SUMPRODUCT((C$7:$N$7=1)*(C28:N28="Y"))*50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19" t="n"/>
      <c r="G29" s="19" t="n"/>
      <c r="H29" s="19" t="n"/>
      <c r="I29" s="26" t="inlineStr">
        <is>
          <t>Y</t>
        </is>
      </c>
      <c r="J29" s="19" t="n"/>
      <c r="K29" s="19" t="n"/>
      <c r="L29" s="26" t="inlineStr">
        <is>
          <t>Y</t>
        </is>
      </c>
      <c r="M29" s="26" t="inlineStr">
        <is>
          <t>Y</t>
        </is>
      </c>
      <c r="N29" s="26" t="inlineStr">
        <is>
          <t>Y</t>
        </is>
      </c>
      <c r="O29" s="18">
        <f>IFERROR(AVERAGEIFS($C$7:$N$7,C29:N29,"Y"),"")</f>
        <v/>
      </c>
      <c r="P29" s="28">
        <f>COUNTIF(C29:N29,"Y")</f>
        <v/>
      </c>
      <c r="Q29" s="29">
        <f>SUMPRODUCT((C$7:$N$7=1)*(C29:N29="Y"))*50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18">
        <f>IFERROR(AVERAGEIFS($C$7:$N$7,C30:N30,"Y"),"")</f>
        <v/>
      </c>
      <c r="P30" s="28">
        <f>COUNTIF(C30:N30,"Y")</f>
        <v/>
      </c>
      <c r="Q30" s="29">
        <f>SUMPRODUCT((C$7:$N$7=1)*(C30:N30="Y"))*50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8">
        <f>IFERROR(AVERAGEIFS($C$7:$N$7,C31:N31,"Y"),"")</f>
        <v/>
      </c>
      <c r="P31" s="28">
        <f>COUNTIF(C31:N31,"Y")</f>
        <v/>
      </c>
      <c r="Q31" s="29">
        <f>SUMPRODUCT((C$7:$N$7=1)*(C31:N31="Y"))*50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18">
        <f>IFERROR(AVERAGEIFS($C$7:$N$7,C32:N32,"Y"),"")</f>
        <v/>
      </c>
      <c r="P32" s="28">
        <f>COUNTIF(C32:N32,"Y")</f>
        <v/>
      </c>
      <c r="Q32" s="29">
        <f>SUMPRODUCT((C$7:$N$7=1)*(C32:N32="Y"))*50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26" t="inlineStr">
        <is>
          <t>Y</t>
        </is>
      </c>
      <c r="E33" s="19" t="n"/>
      <c r="F33" s="19" t="n"/>
      <c r="G33" s="19" t="n"/>
      <c r="H33" s="19" t="n"/>
      <c r="I33" s="26" t="inlineStr">
        <is>
          <t>Y</t>
        </is>
      </c>
      <c r="J33" s="19" t="n"/>
      <c r="K33" s="26" t="inlineStr">
        <is>
          <t>Y</t>
        </is>
      </c>
      <c r="L33" s="19" t="n"/>
      <c r="M33" s="26" t="inlineStr">
        <is>
          <t>Y</t>
        </is>
      </c>
      <c r="N33" s="19" t="n"/>
      <c r="O33" s="18">
        <f>IFERROR(AVERAGEIFS($C$7:$N$7,C33:N33,"Y"),"")</f>
        <v/>
      </c>
      <c r="P33" s="28">
        <f>COUNTIF(C33:N33,"Y")</f>
        <v/>
      </c>
      <c r="Q33" s="29">
        <f>SUMPRODUCT((C$7:$N$7=1)*(C33:N33="Y"))*50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26" t="inlineStr">
        <is>
          <t>Y</t>
        </is>
      </c>
      <c r="F34" s="26" t="inlineStr">
        <is>
          <t>Y</t>
        </is>
      </c>
      <c r="G34" s="33" t="n"/>
      <c r="H34" s="33" t="n"/>
      <c r="I34" s="33" t="n"/>
      <c r="J34" s="26" t="inlineStr">
        <is>
          <t>Y</t>
        </is>
      </c>
      <c r="K34" s="26" t="inlineStr">
        <is>
          <t>Y</t>
        </is>
      </c>
      <c r="L34" s="26" t="inlineStr">
        <is>
          <t>Y</t>
        </is>
      </c>
      <c r="M34" s="26" t="inlineStr">
        <is>
          <t>Y</t>
        </is>
      </c>
      <c r="N34" s="33" t="n"/>
      <c r="O34" s="18">
        <f>IFERROR(AVERAGEIFS($C$7:$N$7,C34:N34,"Y"),"")</f>
        <v/>
      </c>
      <c r="P34" s="28">
        <f>COUNTIF(C34:N34,"Y")</f>
        <v/>
      </c>
      <c r="Q34" s="29">
        <f>SUMPRODUCT((C$7:$N$7=1)*(C34:N34="Y"))*50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26" t="inlineStr">
        <is>
          <t>Y</t>
        </is>
      </c>
      <c r="J35" s="19" t="n"/>
      <c r="K35" s="26" t="inlineStr">
        <is>
          <t>Y</t>
        </is>
      </c>
      <c r="L35" s="19" t="n"/>
      <c r="M35" s="26" t="inlineStr">
        <is>
          <t>Y</t>
        </is>
      </c>
      <c r="N35" s="26" t="inlineStr">
        <is>
          <t>Y</t>
        </is>
      </c>
      <c r="O35" s="18">
        <f>IFERROR(AVERAGEIFS($C$7:$N$7,C35:N35,"Y"),"")</f>
        <v/>
      </c>
      <c r="P35" s="28">
        <f>COUNTIF(C35:N35,"Y")</f>
        <v/>
      </c>
      <c r="Q35" s="29">
        <f>SUMPRODUCT((C$7:$N$7=1)*(C35:N35="Y"))*50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18">
        <f>IFERROR(AVERAGEIFS($C$7:$N$7,C36:N36,"Y"),"")</f>
        <v/>
      </c>
      <c r="P36" s="28">
        <f>COUNTIF(C36:N36,"Y")</f>
        <v/>
      </c>
      <c r="Q36" s="29">
        <f>SUMPRODUCT((C$7:$N$7=1)*(C36:N36="Y"))*50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19" t="n"/>
      <c r="E37" s="26" t="inlineStr">
        <is>
          <t>Y</t>
        </is>
      </c>
      <c r="F37" s="19" t="n"/>
      <c r="G37" s="26" t="inlineStr">
        <is>
          <t>Y</t>
        </is>
      </c>
      <c r="H37" s="26" t="inlineStr">
        <is>
          <t>Y</t>
        </is>
      </c>
      <c r="I37" s="19" t="n"/>
      <c r="J37" s="26" t="inlineStr">
        <is>
          <t>Y</t>
        </is>
      </c>
      <c r="K37" s="19" t="n"/>
      <c r="L37" s="26" t="inlineStr">
        <is>
          <t>Y</t>
        </is>
      </c>
      <c r="M37" s="19" t="n"/>
      <c r="N37" s="19" t="n"/>
      <c r="O37" s="18">
        <f>IFERROR(AVERAGEIFS($C$7:$N$7,C37:N37,"Y"),"")</f>
        <v/>
      </c>
      <c r="P37" s="28">
        <f>COUNTIF(C37:N37,"Y")</f>
        <v/>
      </c>
      <c r="Q37" s="29">
        <f>SUMPRODUCT((C$7:$N$7=1)*(C37:N37="Y"))*50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18">
        <f>IFERROR(AVERAGEIFS($C$7:$N$7,C38:N38,"Y"),"")</f>
        <v/>
      </c>
      <c r="P38" s="28">
        <f>COUNTIF(C38:N38,"Y")</f>
        <v/>
      </c>
      <c r="Q38" s="29">
        <f>SUMPRODUCT((C$7:$N$7=1)*(C38:N38="Y"))*50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3" t="inlineStr"/>
      <c r="P39" s="6">
        <f>SUM(P14:P38)</f>
        <v/>
      </c>
      <c r="Q39" s="37">
        <f>SUM(Q14:Q38)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40:Q40"/>
    <mergeCell ref="A18:Q18"/>
    <mergeCell ref="A12:Q12"/>
    <mergeCell ref="A2:Q2"/>
    <mergeCell ref="A19:Q19"/>
    <mergeCell ref="A1:Q1"/>
    <mergeCell ref="A13:Q13"/>
  </mergeCells>
  <printOptions horizontalCentered="1"/>
  <pageMargins left="0.75" right="0.75" top="1" bottom="1" header="0.5" footer="0.5"/>
  <pageSetup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9" customWidth="1" min="17" max="17"/>
    <col width="7" customWidth="1" min="18" max="18"/>
    <col width="10" customWidth="1" min="19" max="19"/>
  </cols>
  <sheetData>
    <row r="1" ht="26" customHeight="1">
      <c r="A1" s="1" t="inlineStr">
        <is>
          <t>SECRET SHOPPER SCORES — MARCH 2026</t>
        </is>
      </c>
    </row>
    <row r="2" ht="14" customHeight="1">
      <c r="A2" s="2" t="inlineStr">
        <is>
          <t>Five Guys Store 2065 · Louisville, KY · 14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6" t="inlineStr">
        <is>
          <t>AVG</t>
        </is>
      </c>
      <c r="R4" s="6" t="inlineStr">
        <is>
          <t>N</t>
        </is>
      </c>
      <c r="S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03/02</t>
        </is>
      </c>
      <c r="D5" s="9" t="inlineStr">
        <is>
          <t>03/06</t>
        </is>
      </c>
      <c r="E5" s="9" t="inlineStr">
        <is>
          <t>03/11</t>
        </is>
      </c>
      <c r="F5" s="9" t="inlineStr">
        <is>
          <t>03/15</t>
        </is>
      </c>
      <c r="G5" s="9" t="inlineStr">
        <is>
          <t>03/18</t>
        </is>
      </c>
      <c r="H5" s="9" t="inlineStr">
        <is>
          <t>03/20</t>
        </is>
      </c>
      <c r="I5" s="9" t="inlineStr">
        <is>
          <t>03/24</t>
        </is>
      </c>
      <c r="J5" s="9" t="inlineStr">
        <is>
          <t>03/28</t>
        </is>
      </c>
      <c r="K5" s="9" t="inlineStr">
        <is>
          <t>03/31</t>
        </is>
      </c>
      <c r="L5" s="9" t="inlineStr">
        <is>
          <t>03/05</t>
        </is>
      </c>
      <c r="M5" s="9" t="inlineStr">
        <is>
          <t>03/09</t>
        </is>
      </c>
      <c r="N5" s="9" t="inlineStr">
        <is>
          <t>03/15</t>
        </is>
      </c>
      <c r="O5" s="9" t="inlineStr">
        <is>
          <t>03/24</t>
        </is>
      </c>
      <c r="P5" s="9" t="inlineStr">
        <is>
          <t>03/31</t>
        </is>
      </c>
      <c r="Q5" s="7" t="inlineStr"/>
      <c r="R5" s="7" t="inlineStr"/>
      <c r="S5" s="7" t="inlineStr"/>
    </row>
    <row r="6" ht="14" customHeight="1">
      <c r="A6" s="7" t="inlineStr"/>
      <c r="B6" s="8" t="inlineStr">
        <is>
          <t>Meal</t>
        </is>
      </c>
      <c r="C6" s="11" t="inlineStr">
        <is>
          <t>L</t>
        </is>
      </c>
      <c r="D6" s="10" t="inlineStr">
        <is>
          <t>D</t>
        </is>
      </c>
      <c r="E6" s="11" t="inlineStr">
        <is>
          <t>L</t>
        </is>
      </c>
      <c r="F6" s="11" t="inlineStr">
        <is>
          <t>L</t>
        </is>
      </c>
      <c r="G6" s="10" t="inlineStr">
        <is>
          <t>LD</t>
        </is>
      </c>
      <c r="H6" s="10" t="inlineStr">
        <is>
          <t>D</t>
        </is>
      </c>
      <c r="I6" s="11" t="inlineStr">
        <is>
          <t>L</t>
        </is>
      </c>
      <c r="J6" s="11" t="inlineStr">
        <is>
          <t>L</t>
        </is>
      </c>
      <c r="K6" s="10" t="inlineStr">
        <is>
          <t>D</t>
        </is>
      </c>
      <c r="L6" s="10" t="inlineStr">
        <is>
          <t>D</t>
        </is>
      </c>
      <c r="M6" s="11" t="inlineStr">
        <is>
          <t>L</t>
        </is>
      </c>
      <c r="N6" s="11" t="inlineStr">
        <is>
          <t>L</t>
        </is>
      </c>
      <c r="O6" s="10" t="inlineStr">
        <is>
          <t>LD</t>
        </is>
      </c>
      <c r="P6" s="11" t="inlineStr">
        <is>
          <t>L</t>
        </is>
      </c>
      <c r="Q6" s="7" t="inlineStr"/>
      <c r="R6" s="7" t="inlineStr"/>
      <c r="S6" s="7" t="inlineStr"/>
    </row>
    <row r="7" ht="18" customHeight="1">
      <c r="A7" s="12" t="inlineStr"/>
      <c r="B7" s="13" t="inlineStr">
        <is>
          <t>Total Score</t>
        </is>
      </c>
      <c r="C7" s="15" t="n">
        <v>0.8</v>
      </c>
      <c r="D7" s="16" t="n">
        <v>0.31</v>
      </c>
      <c r="E7" s="14" t="n">
        <v>1</v>
      </c>
      <c r="F7" s="16" t="n">
        <v>0.63</v>
      </c>
      <c r="G7" s="16" t="n">
        <v>0</v>
      </c>
      <c r="H7" s="15" t="n">
        <v>0.8</v>
      </c>
      <c r="I7" s="14" t="n">
        <v>1</v>
      </c>
      <c r="J7" s="14" t="n">
        <v>1</v>
      </c>
      <c r="K7" s="16" t="n">
        <v>0.58</v>
      </c>
      <c r="L7" s="16" t="n">
        <v>0.72</v>
      </c>
      <c r="M7" s="15" t="n">
        <v>0.8</v>
      </c>
      <c r="N7" s="16" t="n">
        <v>0.72</v>
      </c>
      <c r="O7" s="16" t="n">
        <v>0.49</v>
      </c>
      <c r="P7" s="14" t="n">
        <v>1</v>
      </c>
      <c r="Q7" s="18">
        <f>IFERROR(AVERAGE(C7:P7),"")</f>
        <v/>
      </c>
      <c r="R7" s="12" t="inlineStr"/>
      <c r="S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40" t="n">
        <v>0.72</v>
      </c>
      <c r="M8" s="39" t="n">
        <v>1</v>
      </c>
      <c r="N8" s="40" t="n">
        <v>0.72</v>
      </c>
      <c r="O8" s="40" t="n">
        <v>0.77</v>
      </c>
      <c r="P8" s="39" t="n">
        <v>1</v>
      </c>
      <c r="Q8" s="21">
        <f>IFERROR(AVERAGE(C8:P8),"")</f>
        <v/>
      </c>
      <c r="R8" s="19" t="inlineStr"/>
      <c r="S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39" t="n">
        <v>1</v>
      </c>
      <c r="M9" s="39" t="n">
        <v>1</v>
      </c>
      <c r="N9" s="39" t="n">
        <v>1</v>
      </c>
      <c r="O9" s="39" t="n">
        <v>1</v>
      </c>
      <c r="P9" s="39" t="n">
        <v>1</v>
      </c>
      <c r="Q9" s="21">
        <f>IFERROR(AVERAGE(C9:P9),"")</f>
        <v/>
      </c>
      <c r="R9" s="19" t="inlineStr"/>
      <c r="S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39" t="n">
        <v>1</v>
      </c>
      <c r="M10" s="42" t="n">
        <v>0.8</v>
      </c>
      <c r="N10" s="39" t="n">
        <v>1</v>
      </c>
      <c r="O10" s="40" t="n">
        <v>0.72</v>
      </c>
      <c r="P10" s="39" t="n">
        <v>1</v>
      </c>
      <c r="Q10" s="21">
        <f>IFERROR(AVERAGE(C10:P10),"")</f>
        <v/>
      </c>
      <c r="R10" s="19" t="inlineStr"/>
      <c r="S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39" t="n">
        <v>1</v>
      </c>
      <c r="M11" s="39" t="n">
        <v>1</v>
      </c>
      <c r="N11" s="39" t="n">
        <v>1</v>
      </c>
      <c r="O11" s="39" t="n">
        <v>1</v>
      </c>
      <c r="P11" s="39" t="n">
        <v>1</v>
      </c>
      <c r="Q11" s="21">
        <f>IFERROR(AVERAGE(C11:P11),"")</f>
        <v/>
      </c>
      <c r="R11" s="19" t="inlineStr"/>
      <c r="S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6" t="inlineStr">
        <is>
          <t>Y</t>
        </is>
      </c>
      <c r="E14" s="27" t="n"/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6" t="inlineStr">
        <is>
          <t>Y</t>
        </is>
      </c>
      <c r="J14" s="27" t="n"/>
      <c r="K14" s="26" t="inlineStr">
        <is>
          <t>Y</t>
        </is>
      </c>
      <c r="L14" s="26" t="inlineStr">
        <is>
          <t>Y</t>
        </is>
      </c>
      <c r="M14" s="26" t="inlineStr">
        <is>
          <t>Y</t>
        </is>
      </c>
      <c r="N14" s="27" t="n"/>
      <c r="O14" s="26" t="inlineStr">
        <is>
          <t>Y</t>
        </is>
      </c>
      <c r="P14" s="26" t="inlineStr">
        <is>
          <t>Y</t>
        </is>
      </c>
      <c r="Q14" s="18">
        <f>IFERROR(AVERAGEIFS($C$7:$P$7,C14:P14,"Y"),"")</f>
        <v/>
      </c>
      <c r="R14" s="28">
        <f>COUNTIF(C14:P14,"Y")</f>
        <v/>
      </c>
      <c r="S14" s="29">
        <f>SUMPRODUCT((C$7:$P$7=1)*(C14:P14="Y"))*50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6" t="inlineStr">
        <is>
          <t>Y</t>
        </is>
      </c>
      <c r="O15" s="27" t="n"/>
      <c r="P15" s="26" t="inlineStr">
        <is>
          <t>Y</t>
        </is>
      </c>
      <c r="Q15" s="18">
        <f>IFERROR(AVERAGEIFS($C$7:$P$7,C15:P15,"Y"),"")</f>
        <v/>
      </c>
      <c r="R15" s="28">
        <f>COUNTIF(C15:P15,"Y")</f>
        <v/>
      </c>
      <c r="S15" s="29">
        <f>SUMPRODUCT((C$7:$P$7=1)*(C15:P15="Y"))*50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6" t="inlineStr">
        <is>
          <t>Y</t>
        </is>
      </c>
      <c r="M16" s="27" t="n"/>
      <c r="N16" s="26" t="inlineStr">
        <is>
          <t>Y</t>
        </is>
      </c>
      <c r="O16" s="27" t="n"/>
      <c r="P16" s="27" t="n"/>
      <c r="Q16" s="18">
        <f>IFERROR(AVERAGEIFS($C$7:$P$7,C16:P16,"Y"),"")</f>
        <v/>
      </c>
      <c r="R16" s="28">
        <f>COUNTIF(C16:P16,"Y")</f>
        <v/>
      </c>
      <c r="S16" s="29">
        <f>SUMPRODUCT((C$7:$P$7=1)*(C16:P16="Y"))*50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6" t="inlineStr">
        <is>
          <t>Y</t>
        </is>
      </c>
      <c r="Q17" s="18">
        <f>IFERROR(AVERAGEIFS($C$7:$P$7,C17:P17,"Y"),"")</f>
        <v/>
      </c>
      <c r="R17" s="28">
        <f>COUNTIF(C17:P17,"Y")</f>
        <v/>
      </c>
      <c r="S17" s="29">
        <f>SUMPRODUCT((C$7:$P$7=1)*(C17:P17="Y"))*50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18">
        <f>IFERROR(AVERAGEIFS($C$7:$P$7,C20:P20,"Y"),"")</f>
        <v/>
      </c>
      <c r="R20" s="28">
        <f>COUNTIF(C20:P20,"Y")</f>
        <v/>
      </c>
      <c r="S20" s="29">
        <f>SUMPRODUCT((C$7:$P$7=1)*(C20:P20="Y"))*50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8">
        <f>IFERROR(AVERAGEIFS($C$7:$P$7,C21:P21,"Y"),"")</f>
        <v/>
      </c>
      <c r="R21" s="28">
        <f>COUNTIF(C21:P21,"Y")</f>
        <v/>
      </c>
      <c r="S21" s="29">
        <f>SUMPRODUCT((C$7:$P$7=1)*(C21:P21="Y"))*50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26" t="inlineStr">
        <is>
          <t>Y</t>
        </is>
      </c>
      <c r="L22" s="26" t="inlineStr">
        <is>
          <t>Y</t>
        </is>
      </c>
      <c r="M22" s="33" t="n"/>
      <c r="N22" s="33" t="n"/>
      <c r="O22" s="26" t="inlineStr">
        <is>
          <t>Y</t>
        </is>
      </c>
      <c r="P22" s="33" t="n"/>
      <c r="Q22" s="18">
        <f>IFERROR(AVERAGEIFS($C$7:$P$7,C22:P22,"Y"),"")</f>
        <v/>
      </c>
      <c r="R22" s="28">
        <f>COUNTIF(C22:P22,"Y")</f>
        <v/>
      </c>
      <c r="S22" s="29">
        <f>SUMPRODUCT((C$7:$P$7=1)*(C22:P22="Y"))*50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26" t="inlineStr">
        <is>
          <t>Y</t>
        </is>
      </c>
      <c r="O23" s="19" t="n"/>
      <c r="P23" s="19" t="n"/>
      <c r="Q23" s="18">
        <f>IFERROR(AVERAGEIFS($C$7:$P$7,C23:P23,"Y"),"")</f>
        <v/>
      </c>
      <c r="R23" s="28">
        <f>COUNTIF(C23:P23,"Y")</f>
        <v/>
      </c>
      <c r="S23" s="29">
        <f>SUMPRODUCT((C$7:$P$7=1)*(C23:P23="Y"))*50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18">
        <f>IFERROR(AVERAGEIFS($C$7:$P$7,C24:P24,"Y"),"")</f>
        <v/>
      </c>
      <c r="R24" s="28">
        <f>COUNTIF(C24:P24,"Y")</f>
        <v/>
      </c>
      <c r="S24" s="29">
        <f>SUMPRODUCT((C$7:$P$7=1)*(C24:P24="Y"))*50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8">
        <f>IFERROR(AVERAGEIFS($C$7:$P$7,C25:P25,"Y"),"")</f>
        <v/>
      </c>
      <c r="R25" s="28">
        <f>COUNTIF(C25:P25,"Y")</f>
        <v/>
      </c>
      <c r="S25" s="29">
        <f>SUMPRODUCT((C$7:$P$7=1)*(C25:P25="Y"))*50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26" t="inlineStr">
        <is>
          <t>Y</t>
        </is>
      </c>
      <c r="E26" s="33" t="n"/>
      <c r="F26" s="33" t="n"/>
      <c r="G26" s="33" t="n"/>
      <c r="H26" s="26" t="inlineStr">
        <is>
          <t>Y</t>
        </is>
      </c>
      <c r="I26" s="26" t="inlineStr">
        <is>
          <t>Y</t>
        </is>
      </c>
      <c r="J26" s="33" t="n"/>
      <c r="K26" s="33" t="n"/>
      <c r="L26" s="26" t="inlineStr">
        <is>
          <t>Y</t>
        </is>
      </c>
      <c r="M26" s="26" t="inlineStr">
        <is>
          <t>Y</t>
        </is>
      </c>
      <c r="N26" s="26" t="inlineStr">
        <is>
          <t>Y</t>
        </is>
      </c>
      <c r="O26" s="33" t="n"/>
      <c r="P26" s="26" t="inlineStr">
        <is>
          <t>Y</t>
        </is>
      </c>
      <c r="Q26" s="18">
        <f>IFERROR(AVERAGEIFS($C$7:$P$7,C26:P26,"Y"),"")</f>
        <v/>
      </c>
      <c r="R26" s="28">
        <f>COUNTIF(C26:P26,"Y")</f>
        <v/>
      </c>
      <c r="S26" s="29">
        <f>SUMPRODUCT((C$7:$P$7=1)*(C26:P26="Y"))*50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8">
        <f>IFERROR(AVERAGEIFS($C$7:$P$7,C27:P27,"Y"),"")</f>
        <v/>
      </c>
      <c r="R27" s="28">
        <f>COUNTIF(C27:P27,"Y")</f>
        <v/>
      </c>
      <c r="S27" s="29">
        <f>SUMPRODUCT((C$7:$P$7=1)*(C27:P27="Y"))*50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26" t="inlineStr">
        <is>
          <t>Y</t>
        </is>
      </c>
      <c r="P28" s="33" t="n"/>
      <c r="Q28" s="18">
        <f>IFERROR(AVERAGEIFS($C$7:$P$7,C28:P28,"Y"),"")</f>
        <v/>
      </c>
      <c r="R28" s="28">
        <f>COUNTIF(C28:P28,"Y")</f>
        <v/>
      </c>
      <c r="S28" s="29">
        <f>SUMPRODUCT((C$7:$P$7=1)*(C28:P28="Y"))*50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26" t="inlineStr">
        <is>
          <t>Y</t>
        </is>
      </c>
      <c r="G29" s="26" t="inlineStr">
        <is>
          <t>Y</t>
        </is>
      </c>
      <c r="H29" s="19" t="n"/>
      <c r="I29" s="19" t="n"/>
      <c r="J29" s="19" t="n"/>
      <c r="K29" s="19" t="n"/>
      <c r="L29" s="19" t="n"/>
      <c r="M29" s="19" t="n"/>
      <c r="N29" s="26" t="inlineStr">
        <is>
          <t>Y</t>
        </is>
      </c>
      <c r="O29" s="19" t="n"/>
      <c r="P29" s="19" t="n"/>
      <c r="Q29" s="18">
        <f>IFERROR(AVERAGEIFS($C$7:$P$7,C29:P29,"Y"),"")</f>
        <v/>
      </c>
      <c r="R29" s="28">
        <f>COUNTIF(C29:P29,"Y")</f>
        <v/>
      </c>
      <c r="S29" s="29">
        <f>SUMPRODUCT((C$7:$P$7=1)*(C29:P29="Y"))*50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18">
        <f>IFERROR(AVERAGEIFS($C$7:$P$7,C30:P30,"Y"),"")</f>
        <v/>
      </c>
      <c r="R30" s="28">
        <f>COUNTIF(C30:P30,"Y")</f>
        <v/>
      </c>
      <c r="S30" s="29">
        <f>SUMPRODUCT((C$7:$P$7=1)*(C30:P30="Y"))*50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8">
        <f>IFERROR(AVERAGEIFS($C$7:$P$7,C31:P31,"Y"),"")</f>
        <v/>
      </c>
      <c r="R31" s="28">
        <f>COUNTIF(C31:P31,"Y")</f>
        <v/>
      </c>
      <c r="S31" s="29">
        <f>SUMPRODUCT((C$7:$P$7=1)*(C31:P31="Y"))*50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18">
        <f>IFERROR(AVERAGEIFS($C$7:$P$7,C32:P32,"Y"),"")</f>
        <v/>
      </c>
      <c r="R32" s="28">
        <f>COUNTIF(C32:P32,"Y")</f>
        <v/>
      </c>
      <c r="S32" s="29">
        <f>SUMPRODUCT((C$7:$P$7=1)*(C32:P32="Y"))*50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19" t="n"/>
      <c r="E33" s="26" t="inlineStr">
        <is>
          <t>Y</t>
        </is>
      </c>
      <c r="F33" s="26" t="inlineStr">
        <is>
          <t>Y</t>
        </is>
      </c>
      <c r="G33" s="19" t="n"/>
      <c r="H33" s="19" t="n"/>
      <c r="I33" s="19" t="n"/>
      <c r="J33" s="26" t="inlineStr">
        <is>
          <t>Y</t>
        </is>
      </c>
      <c r="K33" s="19" t="n"/>
      <c r="L33" s="19" t="n"/>
      <c r="M33" s="26" t="inlineStr">
        <is>
          <t>Y</t>
        </is>
      </c>
      <c r="N33" s="19" t="n"/>
      <c r="O33" s="19" t="n"/>
      <c r="P33" s="26" t="inlineStr">
        <is>
          <t>Y</t>
        </is>
      </c>
      <c r="Q33" s="18">
        <f>IFERROR(AVERAGEIFS($C$7:$P$7,C33:P33,"Y"),"")</f>
        <v/>
      </c>
      <c r="R33" s="28">
        <f>COUNTIF(C33:P33,"Y")</f>
        <v/>
      </c>
      <c r="S33" s="29">
        <f>SUMPRODUCT((C$7:$P$7=1)*(C33:P33="Y"))*50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33" t="n"/>
      <c r="F34" s="26" t="inlineStr">
        <is>
          <t>Y</t>
        </is>
      </c>
      <c r="G34" s="33" t="n"/>
      <c r="H34" s="33" t="n"/>
      <c r="I34" s="33" t="n"/>
      <c r="J34" s="26" t="inlineStr">
        <is>
          <t>Y</t>
        </is>
      </c>
      <c r="K34" s="33" t="n"/>
      <c r="L34" s="26" t="inlineStr">
        <is>
          <t>Y</t>
        </is>
      </c>
      <c r="M34" s="26" t="inlineStr">
        <is>
          <t>Y</t>
        </is>
      </c>
      <c r="N34" s="26" t="inlineStr">
        <is>
          <t>Y</t>
        </is>
      </c>
      <c r="O34" s="26" t="inlineStr">
        <is>
          <t>Y</t>
        </is>
      </c>
      <c r="P34" s="26" t="inlineStr">
        <is>
          <t>Y</t>
        </is>
      </c>
      <c r="Q34" s="18">
        <f>IFERROR(AVERAGEIFS($C$7:$P$7,C34:P34,"Y"),"")</f>
        <v/>
      </c>
      <c r="R34" s="28">
        <f>COUNTIF(C34:P34,"Y")</f>
        <v/>
      </c>
      <c r="S34" s="29">
        <f>SUMPRODUCT((C$7:$P$7=1)*(C34:P34="Y"))*50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8">
        <f>IFERROR(AVERAGEIFS($C$7:$P$7,C35:P35,"Y"),"")</f>
        <v/>
      </c>
      <c r="R35" s="28">
        <f>COUNTIF(C35:P35,"Y")</f>
        <v/>
      </c>
      <c r="S35" s="29">
        <f>SUMPRODUCT((C$7:$P$7=1)*(C35:P35="Y"))*50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18">
        <f>IFERROR(AVERAGEIFS($C$7:$P$7,C36:P36,"Y"),"")</f>
        <v/>
      </c>
      <c r="R36" s="28">
        <f>COUNTIF(C36:P36,"Y")</f>
        <v/>
      </c>
      <c r="S36" s="29">
        <f>SUMPRODUCT((C$7:$P$7=1)*(C36:P36="Y"))*50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26" t="inlineStr">
        <is>
          <t>Y</t>
        </is>
      </c>
      <c r="E37" s="19" t="n"/>
      <c r="F37" s="19" t="n"/>
      <c r="G37" s="19" t="n"/>
      <c r="H37" s="26" t="inlineStr">
        <is>
          <t>Y</t>
        </is>
      </c>
      <c r="I37" s="19" t="n"/>
      <c r="J37" s="19" t="n"/>
      <c r="K37" s="19" t="n"/>
      <c r="L37" s="26" t="inlineStr">
        <is>
          <t>Y</t>
        </is>
      </c>
      <c r="M37" s="19" t="n"/>
      <c r="N37" s="19" t="n"/>
      <c r="O37" s="19" t="n"/>
      <c r="P37" s="19" t="n"/>
      <c r="Q37" s="18">
        <f>IFERROR(AVERAGEIFS($C$7:$P$7,C37:P37,"Y"),"")</f>
        <v/>
      </c>
      <c r="R37" s="28">
        <f>COUNTIF(C37:P37,"Y")</f>
        <v/>
      </c>
      <c r="S37" s="29">
        <f>SUMPRODUCT((C$7:$P$7=1)*(C37:P37="Y"))*50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18">
        <f>IFERROR(AVERAGEIFS($C$7:$P$7,C38:P38,"Y"),"")</f>
        <v/>
      </c>
      <c r="R38" s="28">
        <f>COUNTIF(C38:P38,"Y")</f>
        <v/>
      </c>
      <c r="S38" s="29">
        <f>SUMPRODUCT((C$7:$P$7=1)*(C38:P38="Y"))*50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6">
        <f>COUNTIF(P14:P38,"Y")</f>
        <v/>
      </c>
      <c r="Q39" s="3" t="inlineStr"/>
      <c r="R39" s="6">
        <f>SUM(R14:R38)</f>
        <v/>
      </c>
      <c r="S39" s="37">
        <f>SUM(S14:S38)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9:S19"/>
    <mergeCell ref="A13:S13"/>
    <mergeCell ref="A1:S1"/>
    <mergeCell ref="A40:S40"/>
    <mergeCell ref="A18:S18"/>
    <mergeCell ref="A12:S12"/>
    <mergeCell ref="A2:S2"/>
  </mergeCells>
  <printOptions horizontalCentered="1"/>
  <pageMargins left="0.75" right="0.75" top="1" bottom="1" header="0.5" footer="0.5"/>
  <pageSetup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R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9" customWidth="1" min="16" max="16"/>
    <col width="7" customWidth="1" min="17" max="17"/>
    <col width="10" customWidth="1" min="18" max="18"/>
  </cols>
  <sheetData>
    <row r="1" ht="26" customHeight="1">
      <c r="A1" s="1" t="inlineStr">
        <is>
          <t>SECRET SHOPPER SCORES — APRIL 2026</t>
        </is>
      </c>
    </row>
    <row r="2" ht="14" customHeight="1">
      <c r="A2" s="2" t="inlineStr">
        <is>
          <t>Five Guys Store 2065 · Louisville, KY · 13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6" t="inlineStr">
        <is>
          <t>AVG</t>
        </is>
      </c>
      <c r="Q4" s="6" t="inlineStr">
        <is>
          <t>N</t>
        </is>
      </c>
      <c r="R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04/03</t>
        </is>
      </c>
      <c r="D5" s="9" t="inlineStr">
        <is>
          <t>04/06</t>
        </is>
      </c>
      <c r="E5" s="9" t="inlineStr">
        <is>
          <t>04/10</t>
        </is>
      </c>
      <c r="F5" s="9" t="inlineStr">
        <is>
          <t>04/15</t>
        </is>
      </c>
      <c r="G5" s="9" t="inlineStr">
        <is>
          <t>04/17</t>
        </is>
      </c>
      <c r="H5" s="9" t="inlineStr">
        <is>
          <t>04/24</t>
        </is>
      </c>
      <c r="I5" s="9" t="inlineStr">
        <is>
          <t>04/29</t>
        </is>
      </c>
      <c r="J5" s="9" t="inlineStr">
        <is>
          <t>04/02</t>
        </is>
      </c>
      <c r="K5" s="9" t="inlineStr">
        <is>
          <t>04/09</t>
        </is>
      </c>
      <c r="L5" s="9" t="inlineStr">
        <is>
          <t>04/11</t>
        </is>
      </c>
      <c r="M5" s="9" t="inlineStr">
        <is>
          <t>04/17</t>
        </is>
      </c>
      <c r="N5" s="9" t="inlineStr">
        <is>
          <t>04/23</t>
        </is>
      </c>
      <c r="O5" s="9" t="inlineStr">
        <is>
          <t>04/25</t>
        </is>
      </c>
      <c r="P5" s="7" t="inlineStr"/>
      <c r="Q5" s="7" t="inlineStr"/>
      <c r="R5" s="7" t="inlineStr"/>
    </row>
    <row r="6" ht="14" customHeight="1">
      <c r="A6" s="7" t="inlineStr"/>
      <c r="B6" s="8" t="inlineStr">
        <is>
          <t>Meal</t>
        </is>
      </c>
      <c r="C6" s="11" t="inlineStr">
        <is>
          <t>L</t>
        </is>
      </c>
      <c r="D6" s="10" t="inlineStr">
        <is>
          <t>D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0" t="inlineStr">
        <is>
          <t>D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7" t="inlineStr"/>
      <c r="Q6" s="7" t="inlineStr"/>
      <c r="R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6" t="n">
        <v>0.77</v>
      </c>
      <c r="E7" s="16" t="n">
        <v>0</v>
      </c>
      <c r="F7" s="14" t="n">
        <v>1</v>
      </c>
      <c r="G7" s="16" t="n">
        <v>0</v>
      </c>
      <c r="H7" s="14" t="n">
        <v>1</v>
      </c>
      <c r="I7" s="14" t="n">
        <v>1</v>
      </c>
      <c r="J7" s="17" t="n">
        <v>0.97</v>
      </c>
      <c r="K7" s="15" t="n">
        <v>0.87</v>
      </c>
      <c r="L7" s="17" t="n">
        <v>0.95</v>
      </c>
      <c r="M7" s="16" t="n">
        <v>0.47</v>
      </c>
      <c r="N7" s="14" t="n">
        <v>1</v>
      </c>
      <c r="O7" s="15" t="n">
        <v>0.87</v>
      </c>
      <c r="P7" s="18">
        <f>IFERROR(AVERAGE(C7:O7),"")</f>
        <v/>
      </c>
      <c r="Q7" s="12" t="inlineStr"/>
      <c r="R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39" t="n">
        <v>1</v>
      </c>
      <c r="K8" s="42" t="n">
        <v>0.87</v>
      </c>
      <c r="L8" s="41" t="n">
        <v>0.95</v>
      </c>
      <c r="M8" s="40" t="n">
        <v>0.77</v>
      </c>
      <c r="N8" s="39" t="n">
        <v>1</v>
      </c>
      <c r="O8" s="42" t="n">
        <v>0.87</v>
      </c>
      <c r="P8" s="21">
        <f>IFERROR(AVERAGE(C8:O8),"")</f>
        <v/>
      </c>
      <c r="Q8" s="19" t="inlineStr"/>
      <c r="R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39" t="n">
        <v>1</v>
      </c>
      <c r="K9" s="39" t="n">
        <v>1</v>
      </c>
      <c r="L9" s="39" t="n">
        <v>1</v>
      </c>
      <c r="M9" s="39" t="n">
        <v>1</v>
      </c>
      <c r="N9" s="39" t="n">
        <v>1</v>
      </c>
      <c r="O9" s="39" t="n">
        <v>1</v>
      </c>
      <c r="P9" s="21">
        <f>IFERROR(AVERAGE(C9:O9),"")</f>
        <v/>
      </c>
      <c r="Q9" s="19" t="inlineStr"/>
      <c r="R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41" t="n">
        <v>0.97</v>
      </c>
      <c r="K10" s="39" t="n">
        <v>1</v>
      </c>
      <c r="L10" s="39" t="n">
        <v>1</v>
      </c>
      <c r="M10" s="42" t="n">
        <v>0.8</v>
      </c>
      <c r="N10" s="39" t="n">
        <v>1</v>
      </c>
      <c r="O10" s="39" t="n">
        <v>1</v>
      </c>
      <c r="P10" s="21">
        <f>IFERROR(AVERAGE(C10:O10),"")</f>
        <v/>
      </c>
      <c r="Q10" s="19" t="inlineStr"/>
      <c r="R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39" t="n">
        <v>1</v>
      </c>
      <c r="K11" s="39" t="n">
        <v>1</v>
      </c>
      <c r="L11" s="39" t="n">
        <v>1</v>
      </c>
      <c r="M11" s="41" t="n">
        <v>0.9</v>
      </c>
      <c r="N11" s="39" t="n">
        <v>1</v>
      </c>
      <c r="O11" s="39" t="n">
        <v>1</v>
      </c>
      <c r="P11" s="21">
        <f>IFERROR(AVERAGE(C11:O11),"")</f>
        <v/>
      </c>
      <c r="Q11" s="19" t="inlineStr"/>
      <c r="R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6" t="inlineStr">
        <is>
          <t>Y</t>
        </is>
      </c>
      <c r="E14" s="26" t="inlineStr">
        <is>
          <t>Y</t>
        </is>
      </c>
      <c r="F14" s="27" t="n"/>
      <c r="G14" s="26" t="inlineStr">
        <is>
          <t>Y</t>
        </is>
      </c>
      <c r="H14" s="26" t="inlineStr">
        <is>
          <t>Y</t>
        </is>
      </c>
      <c r="I14" s="26" t="inlineStr">
        <is>
          <t>Y</t>
        </is>
      </c>
      <c r="J14" s="26" t="inlineStr">
        <is>
          <t>Y</t>
        </is>
      </c>
      <c r="K14" s="27" t="n"/>
      <c r="L14" s="27" t="n"/>
      <c r="M14" s="27" t="n"/>
      <c r="N14" s="27" t="n"/>
      <c r="O14" s="27" t="n"/>
      <c r="P14" s="18">
        <f>IFERROR(AVERAGEIFS($C$7:$O$7,C14:O14,"Y"),"")</f>
        <v/>
      </c>
      <c r="Q14" s="28">
        <f>COUNTIF(C14:O14,"Y")</f>
        <v/>
      </c>
      <c r="R14" s="29">
        <f>SUMPRODUCT((C$7:$O$7=1)*(C14:O14="Y"))*50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27" t="n"/>
      <c r="P15" s="18">
        <f>IFERROR(AVERAGEIFS($C$7:$O$7,C15:O15,"Y"),"")</f>
        <v/>
      </c>
      <c r="Q15" s="28">
        <f>COUNTIF(C15:O15,"Y")</f>
        <v/>
      </c>
      <c r="R15" s="29">
        <f>SUMPRODUCT((C$7:$O$7=1)*(C15:O15="Y"))*50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6" t="inlineStr">
        <is>
          <t>Y</t>
        </is>
      </c>
      <c r="L16" s="27" t="n"/>
      <c r="M16" s="27" t="n"/>
      <c r="N16" s="26" t="inlineStr">
        <is>
          <t>Y</t>
        </is>
      </c>
      <c r="O16" s="27" t="n"/>
      <c r="P16" s="18">
        <f>IFERROR(AVERAGEIFS($C$7:$O$7,C16:O16,"Y"),"")</f>
        <v/>
      </c>
      <c r="Q16" s="28">
        <f>COUNTIF(C16:O16,"Y")</f>
        <v/>
      </c>
      <c r="R16" s="29">
        <f>SUMPRODUCT((C$7:$O$7=1)*(C16:O16="Y"))*50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6" t="inlineStr">
        <is>
          <t>Y</t>
        </is>
      </c>
      <c r="M17" s="27" t="n"/>
      <c r="N17" s="26" t="inlineStr">
        <is>
          <t>Y</t>
        </is>
      </c>
      <c r="O17" s="26" t="inlineStr">
        <is>
          <t>Y</t>
        </is>
      </c>
      <c r="P17" s="18">
        <f>IFERROR(AVERAGEIFS($C$7:$O$7,C17:O17,"Y"),"")</f>
        <v/>
      </c>
      <c r="Q17" s="28">
        <f>COUNTIF(C17:O17,"Y")</f>
        <v/>
      </c>
      <c r="R17" s="29">
        <f>SUMPRODUCT((C$7:$O$7=1)*(C17:O17="Y"))*50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18">
        <f>IFERROR(AVERAGEIFS($C$7:$O$7,C20:O20,"Y"),"")</f>
        <v/>
      </c>
      <c r="Q20" s="28">
        <f>COUNTIF(C20:O20,"Y")</f>
        <v/>
      </c>
      <c r="R20" s="29">
        <f>SUMPRODUCT((C$7:$O$7=1)*(C20:O20="Y"))*50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8">
        <f>IFERROR(AVERAGEIFS($C$7:$O$7,C21:O21,"Y"),"")</f>
        <v/>
      </c>
      <c r="Q21" s="28">
        <f>COUNTIF(C21:O21,"Y")</f>
        <v/>
      </c>
      <c r="R21" s="29">
        <f>SUMPRODUCT((C$7:$O$7=1)*(C21:O21="Y"))*50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26" t="inlineStr">
        <is>
          <t>Y</t>
        </is>
      </c>
      <c r="H22" s="26" t="inlineStr">
        <is>
          <t>Y</t>
        </is>
      </c>
      <c r="I22" s="33" t="n"/>
      <c r="J22" s="26" t="inlineStr">
        <is>
          <t>Y</t>
        </is>
      </c>
      <c r="K22" s="33" t="n"/>
      <c r="L22" s="33" t="n"/>
      <c r="M22" s="33" t="n"/>
      <c r="N22" s="26" t="inlineStr">
        <is>
          <t>Y</t>
        </is>
      </c>
      <c r="O22" s="33" t="n"/>
      <c r="P22" s="18">
        <f>IFERROR(AVERAGEIFS($C$7:$O$7,C22:O22,"Y"),"")</f>
        <v/>
      </c>
      <c r="Q22" s="28">
        <f>COUNTIF(C22:O22,"Y")</f>
        <v/>
      </c>
      <c r="R22" s="29">
        <f>SUMPRODUCT((C$7:$O$7=1)*(C22:O22="Y"))*50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26" t="inlineStr">
        <is>
          <t>Y</t>
        </is>
      </c>
      <c r="O23" s="19" t="n"/>
      <c r="P23" s="18">
        <f>IFERROR(AVERAGEIFS($C$7:$O$7,C23:O23,"Y"),"")</f>
        <v/>
      </c>
      <c r="Q23" s="28">
        <f>COUNTIF(C23:O23,"Y")</f>
        <v/>
      </c>
      <c r="R23" s="29">
        <f>SUMPRODUCT((C$7:$O$7=1)*(C23:O23="Y"))*50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26" t="inlineStr">
        <is>
          <t>Y</t>
        </is>
      </c>
      <c r="P24" s="18">
        <f>IFERROR(AVERAGEIFS($C$7:$O$7,C24:O24,"Y"),"")</f>
        <v/>
      </c>
      <c r="Q24" s="28">
        <f>COUNTIF(C24:O24,"Y")</f>
        <v/>
      </c>
      <c r="R24" s="29">
        <f>SUMPRODUCT((C$7:$O$7=1)*(C24:O24="Y"))*50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8">
        <f>IFERROR(AVERAGEIFS($C$7:$O$7,C25:O25,"Y"),"")</f>
        <v/>
      </c>
      <c r="Q25" s="28">
        <f>COUNTIF(C25:O25,"Y")</f>
        <v/>
      </c>
      <c r="R25" s="29">
        <f>SUMPRODUCT((C$7:$O$7=1)*(C25:O25="Y"))*50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26" t="inlineStr">
        <is>
          <t>Y</t>
        </is>
      </c>
      <c r="E26" s="33" t="n"/>
      <c r="F26" s="33" t="n"/>
      <c r="G26" s="33" t="n"/>
      <c r="H26" s="33" t="n"/>
      <c r="I26" s="33" t="n"/>
      <c r="J26" s="33" t="n"/>
      <c r="K26" s="26" t="inlineStr">
        <is>
          <t>Y</t>
        </is>
      </c>
      <c r="L26" s="33" t="n"/>
      <c r="M26" s="26" t="inlineStr">
        <is>
          <t>Y</t>
        </is>
      </c>
      <c r="N26" s="33" t="n"/>
      <c r="O26" s="33" t="n"/>
      <c r="P26" s="18">
        <f>IFERROR(AVERAGEIFS($C$7:$O$7,C26:O26,"Y"),"")</f>
        <v/>
      </c>
      <c r="Q26" s="28">
        <f>COUNTIF(C26:O26,"Y")</f>
        <v/>
      </c>
      <c r="R26" s="29">
        <f>SUMPRODUCT((C$7:$O$7=1)*(C26:O26="Y"))*50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8">
        <f>IFERROR(AVERAGEIFS($C$7:$O$7,C27:O27,"Y"),"")</f>
        <v/>
      </c>
      <c r="Q27" s="28">
        <f>COUNTIF(C27:O27,"Y")</f>
        <v/>
      </c>
      <c r="R27" s="29">
        <f>SUMPRODUCT((C$7:$O$7=1)*(C27:O27="Y"))*50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26" t="inlineStr">
        <is>
          <t>Y</t>
        </is>
      </c>
      <c r="K28" s="33" t="n"/>
      <c r="L28" s="33" t="n"/>
      <c r="M28" s="33" t="n"/>
      <c r="N28" s="33" t="n"/>
      <c r="O28" s="33" t="n"/>
      <c r="P28" s="18">
        <f>IFERROR(AVERAGEIFS($C$7:$O$7,C28:O28,"Y"),"")</f>
        <v/>
      </c>
      <c r="Q28" s="28">
        <f>COUNTIF(C28:O28,"Y")</f>
        <v/>
      </c>
      <c r="R28" s="29">
        <f>SUMPRODUCT((C$7:$O$7=1)*(C28:O28="Y"))*50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26" t="inlineStr">
        <is>
          <t>Y</t>
        </is>
      </c>
      <c r="E29" s="19" t="n"/>
      <c r="F29" s="19" t="n"/>
      <c r="G29" s="26" t="inlineStr">
        <is>
          <t>Y</t>
        </is>
      </c>
      <c r="H29" s="26" t="inlineStr">
        <is>
          <t>Y</t>
        </is>
      </c>
      <c r="I29" s="26" t="inlineStr">
        <is>
          <t>Y</t>
        </is>
      </c>
      <c r="J29" s="26" t="inlineStr">
        <is>
          <t>Y</t>
        </is>
      </c>
      <c r="K29" s="26" t="inlineStr">
        <is>
          <t>Y</t>
        </is>
      </c>
      <c r="L29" s="26" t="inlineStr">
        <is>
          <t>Y</t>
        </is>
      </c>
      <c r="M29" s="19" t="n"/>
      <c r="N29" s="19" t="n"/>
      <c r="O29" s="19" t="n"/>
      <c r="P29" s="18">
        <f>IFERROR(AVERAGEIFS($C$7:$O$7,C29:O29,"Y"),"")</f>
        <v/>
      </c>
      <c r="Q29" s="28">
        <f>COUNTIF(C29:O29,"Y")</f>
        <v/>
      </c>
      <c r="R29" s="29">
        <f>SUMPRODUCT((C$7:$O$7=1)*(C29:O29="Y"))*50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18">
        <f>IFERROR(AVERAGEIFS($C$7:$O$7,C30:O30,"Y"),"")</f>
        <v/>
      </c>
      <c r="Q30" s="28">
        <f>COUNTIF(C30:O30,"Y")</f>
        <v/>
      </c>
      <c r="R30" s="29">
        <f>SUMPRODUCT((C$7:$O$7=1)*(C30:O30="Y"))*50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8">
        <f>IFERROR(AVERAGEIFS($C$7:$O$7,C31:O31,"Y"),"")</f>
        <v/>
      </c>
      <c r="Q31" s="28">
        <f>COUNTIF(C31:O31,"Y")</f>
        <v/>
      </c>
      <c r="R31" s="29">
        <f>SUMPRODUCT((C$7:$O$7=1)*(C31:O31="Y"))*50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18">
        <f>IFERROR(AVERAGEIFS($C$7:$O$7,C32:O32,"Y"),"")</f>
        <v/>
      </c>
      <c r="Q32" s="28">
        <f>COUNTIF(C32:O32,"Y")</f>
        <v/>
      </c>
      <c r="R32" s="29">
        <f>SUMPRODUCT((C$7:$O$7=1)*(C32:O32="Y"))*50</f>
        <v/>
      </c>
    </row>
    <row r="33" ht="17" customHeight="1">
      <c r="A33" s="34" t="n">
        <v>14</v>
      </c>
      <c r="B33" s="35" t="inlineStr">
        <is>
          <t>Lidy</t>
        </is>
      </c>
      <c r="C33" s="26" t="inlineStr">
        <is>
          <t>Y</t>
        </is>
      </c>
      <c r="D33" s="19" t="n"/>
      <c r="E33" s="19" t="n"/>
      <c r="F33" s="26" t="inlineStr">
        <is>
          <t>Y</t>
        </is>
      </c>
      <c r="G33" s="19" t="n"/>
      <c r="H33" s="19" t="n"/>
      <c r="I33" s="26" t="inlineStr">
        <is>
          <t>Y</t>
        </is>
      </c>
      <c r="J33" s="19" t="n"/>
      <c r="K33" s="26" t="inlineStr">
        <is>
          <t>Y</t>
        </is>
      </c>
      <c r="L33" s="19" t="n"/>
      <c r="M33" s="26" t="inlineStr">
        <is>
          <t>Y</t>
        </is>
      </c>
      <c r="N33" s="19" t="n"/>
      <c r="O33" s="26" t="inlineStr">
        <is>
          <t>Y</t>
        </is>
      </c>
      <c r="P33" s="18">
        <f>IFERROR(AVERAGEIFS($C$7:$O$7,C33:O33,"Y"),"")</f>
        <v/>
      </c>
      <c r="Q33" s="28">
        <f>COUNTIF(C33:O33,"Y")</f>
        <v/>
      </c>
      <c r="R33" s="29">
        <f>SUMPRODUCT((C$7:$O$7=1)*(C33:O33="Y"))*50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33" t="n"/>
      <c r="F34" s="26" t="inlineStr">
        <is>
          <t>Y</t>
        </is>
      </c>
      <c r="G34" s="33" t="n"/>
      <c r="H34" s="33" t="n"/>
      <c r="I34" s="26" t="inlineStr">
        <is>
          <t>Y</t>
        </is>
      </c>
      <c r="J34" s="26" t="inlineStr">
        <is>
          <t>Y</t>
        </is>
      </c>
      <c r="K34" s="33" t="n"/>
      <c r="L34" s="33" t="n"/>
      <c r="M34" s="33" t="n"/>
      <c r="N34" s="26" t="inlineStr">
        <is>
          <t>Y</t>
        </is>
      </c>
      <c r="O34" s="33" t="n"/>
      <c r="P34" s="18">
        <f>IFERROR(AVERAGEIFS($C$7:$O$7,C34:O34,"Y"),"")</f>
        <v/>
      </c>
      <c r="Q34" s="28">
        <f>COUNTIF(C34:O34,"Y")</f>
        <v/>
      </c>
      <c r="R34" s="29">
        <f>SUMPRODUCT((C$7:$O$7=1)*(C34:O34="Y"))*50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8">
        <f>IFERROR(AVERAGEIFS($C$7:$O$7,C35:O35,"Y"),"")</f>
        <v/>
      </c>
      <c r="Q35" s="28">
        <f>COUNTIF(C35:O35,"Y")</f>
        <v/>
      </c>
      <c r="R35" s="29">
        <f>SUMPRODUCT((C$7:$O$7=1)*(C35:O35="Y"))*50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26" t="inlineStr">
        <is>
          <t>Y</t>
        </is>
      </c>
      <c r="K36" s="33" t="n"/>
      <c r="L36" s="26" t="inlineStr">
        <is>
          <t>Y</t>
        </is>
      </c>
      <c r="M36" s="26" t="inlineStr">
        <is>
          <t>Y</t>
        </is>
      </c>
      <c r="N36" s="26" t="inlineStr">
        <is>
          <t>Y</t>
        </is>
      </c>
      <c r="O36" s="33" t="n"/>
      <c r="P36" s="18">
        <f>IFERROR(AVERAGEIFS($C$7:$O$7,C36:O36,"Y"),"")</f>
        <v/>
      </c>
      <c r="Q36" s="28">
        <f>COUNTIF(C36:O36,"Y")</f>
        <v/>
      </c>
      <c r="R36" s="29">
        <f>SUMPRODUCT((C$7:$O$7=1)*(C36:O36="Y"))*50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19" t="n"/>
      <c r="E37" s="26" t="inlineStr">
        <is>
          <t>Y</t>
        </is>
      </c>
      <c r="F37" s="19" t="n"/>
      <c r="G37" s="26" t="inlineStr">
        <is>
          <t>Y</t>
        </is>
      </c>
      <c r="H37" s="26" t="inlineStr">
        <is>
          <t>Y</t>
        </is>
      </c>
      <c r="I37" s="19" t="n"/>
      <c r="J37" s="26" t="inlineStr">
        <is>
          <t>Y</t>
        </is>
      </c>
      <c r="K37" s="19" t="n"/>
      <c r="L37" s="19" t="n"/>
      <c r="M37" s="19" t="n"/>
      <c r="N37" s="19" t="n"/>
      <c r="O37" s="19" t="n"/>
      <c r="P37" s="18">
        <f>IFERROR(AVERAGEIFS($C$7:$O$7,C37:O37,"Y"),"")</f>
        <v/>
      </c>
      <c r="Q37" s="28">
        <f>COUNTIF(C37:O37,"Y")</f>
        <v/>
      </c>
      <c r="R37" s="29">
        <f>SUMPRODUCT((C$7:$O$7=1)*(C37:O37="Y"))*50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18">
        <f>IFERROR(AVERAGEIFS($C$7:$O$7,C38:O38,"Y"),"")</f>
        <v/>
      </c>
      <c r="Q38" s="28">
        <f>COUNTIF(C38:O38,"Y")</f>
        <v/>
      </c>
      <c r="R38" s="29">
        <f>SUMPRODUCT((C$7:$O$7=1)*(C38:O38="Y"))*50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3" t="inlineStr"/>
      <c r="Q39" s="6">
        <f>SUM(Q14:Q38)</f>
        <v/>
      </c>
      <c r="R39" s="37">
        <f>SUM(R14:R38)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8:R18"/>
    <mergeCell ref="A2:R2"/>
    <mergeCell ref="A19:R19"/>
    <mergeCell ref="A13:R13"/>
    <mergeCell ref="A1:R1"/>
    <mergeCell ref="A40:R40"/>
    <mergeCell ref="A12:R12"/>
  </mergeCells>
  <printOptions horizontalCentered="1"/>
  <pageMargins left="0.75" right="0.75" top="1" bottom="1" header="0.5" footer="0.5"/>
  <pageSetup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9" customWidth="1" min="16" max="16"/>
    <col width="7" customWidth="1" min="17" max="17"/>
    <col width="10" customWidth="1" min="18" max="18"/>
  </cols>
  <sheetData>
    <row r="1" ht="26" customHeight="1">
      <c r="A1" s="1" t="inlineStr">
        <is>
          <t>SECRET SHOPPER SCORES — MAY 2026</t>
        </is>
      </c>
    </row>
    <row r="2" ht="14" customHeight="1">
      <c r="A2" s="2" t="inlineStr">
        <is>
          <t>Five Guys Store 2065 · Louisville, KY · 13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6" t="inlineStr">
        <is>
          <t>AVG</t>
        </is>
      </c>
      <c r="Q4" s="6" t="inlineStr">
        <is>
          <t>N</t>
        </is>
      </c>
      <c r="R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05/01</t>
        </is>
      </c>
      <c r="D5" s="9" t="inlineStr">
        <is>
          <t>05/03</t>
        </is>
      </c>
      <c r="E5" s="9" t="inlineStr">
        <is>
          <t>05/10</t>
        </is>
      </c>
      <c r="F5" s="9" t="inlineStr">
        <is>
          <t>05/11</t>
        </is>
      </c>
      <c r="G5" s="9" t="inlineStr">
        <is>
          <t>05/18</t>
        </is>
      </c>
      <c r="H5" s="9" t="inlineStr">
        <is>
          <t>05/20</t>
        </is>
      </c>
      <c r="I5" s="9" t="inlineStr">
        <is>
          <t>05/26</t>
        </is>
      </c>
      <c r="J5" s="9" t="inlineStr">
        <is>
          <t>05/31</t>
        </is>
      </c>
      <c r="K5" s="9" t="inlineStr">
        <is>
          <t>05/01</t>
        </is>
      </c>
      <c r="L5" s="9" t="inlineStr">
        <is>
          <t>05/11</t>
        </is>
      </c>
      <c r="M5" s="9" t="inlineStr">
        <is>
          <t>05/14</t>
        </is>
      </c>
      <c r="N5" s="9" t="inlineStr">
        <is>
          <t>05/16</t>
        </is>
      </c>
      <c r="O5" s="9" t="inlineStr">
        <is>
          <t>05/26</t>
        </is>
      </c>
      <c r="P5" s="7" t="inlineStr"/>
      <c r="Q5" s="7" t="inlineStr"/>
      <c r="R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1" t="inlineStr">
        <is>
          <t>L</t>
        </is>
      </c>
      <c r="H6" s="10" t="inlineStr">
        <is>
          <t>D</t>
        </is>
      </c>
      <c r="I6" s="10" t="inlineStr">
        <is>
          <t>D</t>
        </is>
      </c>
      <c r="J6" s="11" t="inlineStr">
        <is>
          <t>L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7" t="inlineStr"/>
      <c r="Q6" s="7" t="inlineStr"/>
      <c r="R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4" t="n">
        <v>1</v>
      </c>
      <c r="E7" s="16" t="n">
        <v>0.75</v>
      </c>
      <c r="F7" s="15" t="n">
        <v>0.8</v>
      </c>
      <c r="G7" s="16" t="n">
        <v>0.77</v>
      </c>
      <c r="H7" s="17" t="n">
        <v>0.92</v>
      </c>
      <c r="I7" s="17" t="n">
        <v>0.95</v>
      </c>
      <c r="J7" s="15" t="n">
        <v>0.8</v>
      </c>
      <c r="K7" s="14" t="n">
        <v>1</v>
      </c>
      <c r="L7" s="14" t="n">
        <v>1</v>
      </c>
      <c r="M7" s="17" t="n">
        <v>0.95</v>
      </c>
      <c r="N7" s="16" t="n">
        <v>0.75</v>
      </c>
      <c r="O7" s="16" t="n">
        <v>0.6</v>
      </c>
      <c r="P7" s="18">
        <f>IFERROR(AVERAGE(C7:O7),"")</f>
        <v/>
      </c>
      <c r="Q7" s="12" t="inlineStr"/>
      <c r="R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19" t="inlineStr"/>
      <c r="M8" s="19" t="inlineStr"/>
      <c r="N8" s="19" t="inlineStr"/>
      <c r="O8" s="19" t="inlineStr"/>
      <c r="P8" s="21">
        <f>IFERROR(AVERAGE(C8:O8),"")</f>
        <v/>
      </c>
      <c r="Q8" s="19" t="inlineStr"/>
      <c r="R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19" t="inlineStr"/>
      <c r="M9" s="19" t="inlineStr"/>
      <c r="N9" s="19" t="inlineStr"/>
      <c r="O9" s="19" t="inlineStr"/>
      <c r="P9" s="21">
        <f>IFERROR(AVERAGE(C9:O9),"")</f>
        <v/>
      </c>
      <c r="Q9" s="19" t="inlineStr"/>
      <c r="R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19" t="inlineStr"/>
      <c r="M10" s="19" t="inlineStr"/>
      <c r="N10" s="19" t="inlineStr"/>
      <c r="O10" s="19" t="inlineStr"/>
      <c r="P10" s="21">
        <f>IFERROR(AVERAGE(C10:O10),"")</f>
        <v/>
      </c>
      <c r="Q10" s="19" t="inlineStr"/>
      <c r="R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19" t="inlineStr"/>
      <c r="M11" s="19" t="inlineStr"/>
      <c r="N11" s="19" t="inlineStr"/>
      <c r="O11" s="19" t="inlineStr"/>
      <c r="P11" s="21">
        <f>IFERROR(AVERAGE(C11:O11),"")</f>
        <v/>
      </c>
      <c r="Q11" s="19" t="inlineStr"/>
      <c r="R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7" t="n"/>
      <c r="D14" s="26" t="inlineStr">
        <is>
          <t>Y</t>
        </is>
      </c>
      <c r="E14" s="26" t="inlineStr">
        <is>
          <t>Y</t>
        </is>
      </c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7" t="n"/>
      <c r="J14" s="26" t="inlineStr">
        <is>
          <t>Y</t>
        </is>
      </c>
      <c r="K14" s="26" t="inlineStr">
        <is>
          <t>Y</t>
        </is>
      </c>
      <c r="L14" s="26" t="inlineStr">
        <is>
          <t>Y</t>
        </is>
      </c>
      <c r="M14" s="26" t="inlineStr">
        <is>
          <t>Y</t>
        </is>
      </c>
      <c r="N14" s="26" t="inlineStr">
        <is>
          <t>Y</t>
        </is>
      </c>
      <c r="O14" s="26" t="inlineStr">
        <is>
          <t>Y</t>
        </is>
      </c>
      <c r="P14" s="18">
        <f>IFERROR(AVERAGEIFS($C$7:$O$7,C14:O14,"Y"),"")</f>
        <v/>
      </c>
      <c r="Q14" s="28">
        <f>COUNTIF(C14:O14,"Y")</f>
        <v/>
      </c>
      <c r="R14" s="29">
        <f>SUMPRODUCT((C$7:$O$7=1)*(C14:O14="Y"))*50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26" t="inlineStr">
        <is>
          <t>Y</t>
        </is>
      </c>
      <c r="P15" s="18">
        <f>IFERROR(AVERAGEIFS($C$7:$O$7,C15:O15,"Y"),"")</f>
        <v/>
      </c>
      <c r="Q15" s="28">
        <f>COUNTIF(C15:O15,"Y")</f>
        <v/>
      </c>
      <c r="R15" s="29">
        <f>SUMPRODUCT((C$7:$O$7=1)*(C15:O15="Y"))*50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7" t="n"/>
      <c r="O16" s="27" t="n"/>
      <c r="P16" s="18">
        <f>IFERROR(AVERAGEIFS($C$7:$O$7,C16:O16,"Y"),"")</f>
        <v/>
      </c>
      <c r="Q16" s="28">
        <f>COUNTIF(C16:O16,"Y")</f>
        <v/>
      </c>
      <c r="R16" s="29">
        <f>SUMPRODUCT((C$7:$O$7=1)*(C16:O16="Y"))*50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6" t="inlineStr">
        <is>
          <t>Y</t>
        </is>
      </c>
      <c r="N17" s="27" t="n"/>
      <c r="O17" s="27" t="n"/>
      <c r="P17" s="18">
        <f>IFERROR(AVERAGEIFS($C$7:$O$7,C17:O17,"Y"),"")</f>
        <v/>
      </c>
      <c r="Q17" s="28">
        <f>COUNTIF(C17:O17,"Y")</f>
        <v/>
      </c>
      <c r="R17" s="29">
        <f>SUMPRODUCT((C$7:$O$7=1)*(C17:O17="Y"))*50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18">
        <f>IFERROR(AVERAGEIFS($C$7:$O$7,C20:O20,"Y"),"")</f>
        <v/>
      </c>
      <c r="Q20" s="28">
        <f>COUNTIF(C20:O20,"Y")</f>
        <v/>
      </c>
      <c r="R20" s="29">
        <f>SUMPRODUCT((C$7:$O$7=1)*(C20:O20="Y"))*50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8">
        <f>IFERROR(AVERAGEIFS($C$7:$O$7,C21:O21,"Y"),"")</f>
        <v/>
      </c>
      <c r="Q21" s="28">
        <f>COUNTIF(C21:O21,"Y")</f>
        <v/>
      </c>
      <c r="R21" s="29">
        <f>SUMPRODUCT((C$7:$O$7=1)*(C21:O21="Y"))*50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26" t="inlineStr">
        <is>
          <t>Y</t>
        </is>
      </c>
      <c r="H22" s="26" t="inlineStr">
        <is>
          <t>Y</t>
        </is>
      </c>
      <c r="I22" s="33" t="n"/>
      <c r="J22" s="33" t="n"/>
      <c r="K22" s="33" t="n"/>
      <c r="L22" s="33" t="n"/>
      <c r="M22" s="33" t="n"/>
      <c r="N22" s="33" t="n"/>
      <c r="O22" s="33" t="n"/>
      <c r="P22" s="18">
        <f>IFERROR(AVERAGEIFS($C$7:$O$7,C22:O22,"Y"),"")</f>
        <v/>
      </c>
      <c r="Q22" s="28">
        <f>COUNTIF(C22:O22,"Y")</f>
        <v/>
      </c>
      <c r="R22" s="29">
        <f>SUMPRODUCT((C$7:$O$7=1)*(C22:O22="Y"))*50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26" t="inlineStr">
        <is>
          <t>Y</t>
        </is>
      </c>
      <c r="M23" s="19" t="n"/>
      <c r="N23" s="19" t="n"/>
      <c r="O23" s="19" t="n"/>
      <c r="P23" s="18">
        <f>IFERROR(AVERAGEIFS($C$7:$O$7,C23:O23,"Y"),"")</f>
        <v/>
      </c>
      <c r="Q23" s="28">
        <f>COUNTIF(C23:O23,"Y")</f>
        <v/>
      </c>
      <c r="R23" s="29">
        <f>SUMPRODUCT((C$7:$O$7=1)*(C23:O23="Y"))*50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26" t="inlineStr">
        <is>
          <t>Y</t>
        </is>
      </c>
      <c r="M24" s="33" t="n"/>
      <c r="N24" s="33" t="n"/>
      <c r="O24" s="33" t="n"/>
      <c r="P24" s="18">
        <f>IFERROR(AVERAGEIFS($C$7:$O$7,C24:O24,"Y"),"")</f>
        <v/>
      </c>
      <c r="Q24" s="28">
        <f>COUNTIF(C24:O24,"Y")</f>
        <v/>
      </c>
      <c r="R24" s="29">
        <f>SUMPRODUCT((C$7:$O$7=1)*(C24:O24="Y"))*50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8">
        <f>IFERROR(AVERAGEIFS($C$7:$O$7,C25:O25,"Y"),"")</f>
        <v/>
      </c>
      <c r="Q25" s="28">
        <f>COUNTIF(C25:O25,"Y")</f>
        <v/>
      </c>
      <c r="R25" s="29">
        <f>SUMPRODUCT((C$7:$O$7=1)*(C25:O25="Y"))*50</f>
        <v/>
      </c>
    </row>
    <row r="26" ht="17" customHeight="1">
      <c r="A26" s="31" t="n">
        <v>7</v>
      </c>
      <c r="B26" s="32" t="inlineStr">
        <is>
          <t>Francisco</t>
        </is>
      </c>
      <c r="C26" s="33" t="n"/>
      <c r="D26" s="33" t="n"/>
      <c r="E26" s="26" t="inlineStr">
        <is>
          <t>Y</t>
        </is>
      </c>
      <c r="F26" s="33" t="n"/>
      <c r="G26" s="33" t="n"/>
      <c r="H26" s="33" t="n"/>
      <c r="I26" s="33" t="n"/>
      <c r="J26" s="33" t="n"/>
      <c r="K26" s="26" t="inlineStr">
        <is>
          <t>Y</t>
        </is>
      </c>
      <c r="L26" s="26" t="inlineStr">
        <is>
          <t>Y</t>
        </is>
      </c>
      <c r="M26" s="33" t="n"/>
      <c r="N26" s="26" t="inlineStr">
        <is>
          <t>Y</t>
        </is>
      </c>
      <c r="O26" s="26" t="inlineStr">
        <is>
          <t>Y</t>
        </is>
      </c>
      <c r="P26" s="18">
        <f>IFERROR(AVERAGEIFS($C$7:$O$7,C26:O26,"Y"),"")</f>
        <v/>
      </c>
      <c r="Q26" s="28">
        <f>COUNTIF(C26:O26,"Y")</f>
        <v/>
      </c>
      <c r="R26" s="29">
        <f>SUMPRODUCT((C$7:$O$7=1)*(C26:O26="Y"))*50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8">
        <f>IFERROR(AVERAGEIFS($C$7:$O$7,C27:O27,"Y"),"")</f>
        <v/>
      </c>
      <c r="Q27" s="28">
        <f>COUNTIF(C27:O27,"Y")</f>
        <v/>
      </c>
      <c r="R27" s="29">
        <f>SUMPRODUCT((C$7:$O$7=1)*(C27:O27="Y"))*50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33" t="n"/>
      <c r="P28" s="18">
        <f>IFERROR(AVERAGEIFS($C$7:$O$7,C28:O28,"Y"),"")</f>
        <v/>
      </c>
      <c r="Q28" s="28">
        <f>COUNTIF(C28:O28,"Y")</f>
        <v/>
      </c>
      <c r="R28" s="29">
        <f>SUMPRODUCT((C$7:$O$7=1)*(C28:O28="Y"))*50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26" t="inlineStr">
        <is>
          <t>Y</t>
        </is>
      </c>
      <c r="E29" s="26" t="inlineStr">
        <is>
          <t>Y</t>
        </is>
      </c>
      <c r="F29" s="26" t="inlineStr">
        <is>
          <t>Y</t>
        </is>
      </c>
      <c r="G29" s="26" t="inlineStr">
        <is>
          <t>Y</t>
        </is>
      </c>
      <c r="H29" s="26" t="inlineStr">
        <is>
          <t>Y</t>
        </is>
      </c>
      <c r="I29" s="26" t="inlineStr">
        <is>
          <t>Y</t>
        </is>
      </c>
      <c r="J29" s="26" t="inlineStr">
        <is>
          <t>Y</t>
        </is>
      </c>
      <c r="K29" s="19" t="n"/>
      <c r="L29" s="19" t="n"/>
      <c r="M29" s="26" t="inlineStr">
        <is>
          <t>Y</t>
        </is>
      </c>
      <c r="N29" s="26" t="inlineStr">
        <is>
          <t>Y</t>
        </is>
      </c>
      <c r="O29" s="19" t="n"/>
      <c r="P29" s="18">
        <f>IFERROR(AVERAGEIFS($C$7:$O$7,C29:O29,"Y"),"")</f>
        <v/>
      </c>
      <c r="Q29" s="28">
        <f>COUNTIF(C29:O29,"Y")</f>
        <v/>
      </c>
      <c r="R29" s="29">
        <f>SUMPRODUCT((C$7:$O$7=1)*(C29:O29="Y"))*50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18">
        <f>IFERROR(AVERAGEIFS($C$7:$O$7,C30:O30,"Y"),"")</f>
        <v/>
      </c>
      <c r="Q30" s="28">
        <f>COUNTIF(C30:O30,"Y")</f>
        <v/>
      </c>
      <c r="R30" s="29">
        <f>SUMPRODUCT((C$7:$O$7=1)*(C30:O30="Y"))*50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8">
        <f>IFERROR(AVERAGEIFS($C$7:$O$7,C31:O31,"Y"),"")</f>
        <v/>
      </c>
      <c r="Q31" s="28">
        <f>COUNTIF(C31:O31,"Y")</f>
        <v/>
      </c>
      <c r="R31" s="29">
        <f>SUMPRODUCT((C$7:$O$7=1)*(C31:O31="Y"))*50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18">
        <f>IFERROR(AVERAGEIFS($C$7:$O$7,C32:O32,"Y"),"")</f>
        <v/>
      </c>
      <c r="Q32" s="28">
        <f>COUNTIF(C32:O32,"Y")</f>
        <v/>
      </c>
      <c r="R32" s="29">
        <f>SUMPRODUCT((C$7:$O$7=1)*(C32:O32="Y"))*50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26" t="inlineStr">
        <is>
          <t>Y</t>
        </is>
      </c>
      <c r="E33" s="19" t="n"/>
      <c r="F33" s="19" t="n"/>
      <c r="G33" s="19" t="n"/>
      <c r="H33" s="19" t="n"/>
      <c r="I33" s="19" t="n"/>
      <c r="J33" s="26" t="inlineStr">
        <is>
          <t>Y</t>
        </is>
      </c>
      <c r="K33" s="26" t="inlineStr">
        <is>
          <t>Y</t>
        </is>
      </c>
      <c r="L33" s="19" t="n"/>
      <c r="M33" s="26" t="inlineStr">
        <is>
          <t>Y</t>
        </is>
      </c>
      <c r="N33" s="19" t="n"/>
      <c r="O33" s="26" t="inlineStr">
        <is>
          <t>Y</t>
        </is>
      </c>
      <c r="P33" s="18">
        <f>IFERROR(AVERAGEIFS($C$7:$O$7,C33:O33,"Y"),"")</f>
        <v/>
      </c>
      <c r="Q33" s="28">
        <f>COUNTIF(C33:O33,"Y")</f>
        <v/>
      </c>
      <c r="R33" s="29">
        <f>SUMPRODUCT((C$7:$O$7=1)*(C33:O33="Y"))*50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26" t="inlineStr">
        <is>
          <t>Y</t>
        </is>
      </c>
      <c r="E34" s="33" t="n"/>
      <c r="F34" s="33" t="n"/>
      <c r="G34" s="33" t="n"/>
      <c r="H34" s="33" t="n"/>
      <c r="I34" s="33" t="n"/>
      <c r="J34" s="33" t="n"/>
      <c r="K34" s="33" t="n"/>
      <c r="L34" s="26" t="inlineStr">
        <is>
          <t>Y</t>
        </is>
      </c>
      <c r="M34" s="33" t="n"/>
      <c r="N34" s="33" t="n"/>
      <c r="O34" s="26" t="inlineStr">
        <is>
          <t>Y</t>
        </is>
      </c>
      <c r="P34" s="18">
        <f>IFERROR(AVERAGEIFS($C$7:$O$7,C34:O34,"Y"),"")</f>
        <v/>
      </c>
      <c r="Q34" s="28">
        <f>COUNTIF(C34:O34,"Y")</f>
        <v/>
      </c>
      <c r="R34" s="29">
        <f>SUMPRODUCT((C$7:$O$7=1)*(C34:O34="Y"))*50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8">
        <f>IFERROR(AVERAGEIFS($C$7:$O$7,C35:O35,"Y"),"")</f>
        <v/>
      </c>
      <c r="Q35" s="28">
        <f>COUNTIF(C35:O35,"Y")</f>
        <v/>
      </c>
      <c r="R35" s="29">
        <f>SUMPRODUCT((C$7:$O$7=1)*(C35:O35="Y"))*50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26" t="inlineStr">
        <is>
          <t>Y</t>
        </is>
      </c>
      <c r="N36" s="33" t="n"/>
      <c r="O36" s="33" t="n"/>
      <c r="P36" s="18">
        <f>IFERROR(AVERAGEIFS($C$7:$O$7,C36:O36,"Y"),"")</f>
        <v/>
      </c>
      <c r="Q36" s="28">
        <f>COUNTIF(C36:O36,"Y")</f>
        <v/>
      </c>
      <c r="R36" s="29">
        <f>SUMPRODUCT((C$7:$O$7=1)*(C36:O36="Y"))*50</f>
        <v/>
      </c>
    </row>
    <row r="37" ht="17" customHeight="1">
      <c r="A37" s="34" t="n">
        <v>18</v>
      </c>
      <c r="B37" s="35" t="inlineStr">
        <is>
          <t>Samuel</t>
        </is>
      </c>
      <c r="C37" s="26" t="inlineStr">
        <is>
          <t>Y</t>
        </is>
      </c>
      <c r="D37" s="19" t="n"/>
      <c r="E37" s="26" t="inlineStr">
        <is>
          <t>Y</t>
        </is>
      </c>
      <c r="F37" s="19" t="n"/>
      <c r="G37" s="19" t="n"/>
      <c r="H37" s="19" t="n"/>
      <c r="I37" s="26" t="inlineStr">
        <is>
          <t>Y</t>
        </is>
      </c>
      <c r="J37" s="19" t="n"/>
      <c r="K37" s="19" t="n"/>
      <c r="L37" s="19" t="n"/>
      <c r="M37" s="19" t="n"/>
      <c r="N37" s="19" t="n"/>
      <c r="O37" s="19" t="n"/>
      <c r="P37" s="18">
        <f>IFERROR(AVERAGEIFS($C$7:$O$7,C37:O37,"Y"),"")</f>
        <v/>
      </c>
      <c r="Q37" s="28">
        <f>COUNTIF(C37:O37,"Y")</f>
        <v/>
      </c>
      <c r="R37" s="29">
        <f>SUMPRODUCT((C$7:$O$7=1)*(C37:O37="Y"))*50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18">
        <f>IFERROR(AVERAGEIFS($C$7:$O$7,C38:O38,"Y"),"")</f>
        <v/>
      </c>
      <c r="Q38" s="28">
        <f>COUNTIF(C38:O38,"Y")</f>
        <v/>
      </c>
      <c r="R38" s="29">
        <f>SUMPRODUCT((C$7:$O$7=1)*(C38:O38="Y"))*50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3" t="inlineStr"/>
      <c r="Q39" s="6">
        <f>SUM(Q14:Q38)</f>
        <v/>
      </c>
      <c r="R39" s="37">
        <f>SUM(R14:R38)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8:R18"/>
    <mergeCell ref="A2:R2"/>
    <mergeCell ref="A19:R19"/>
    <mergeCell ref="A13:R13"/>
    <mergeCell ref="A1:R1"/>
    <mergeCell ref="A40:R40"/>
    <mergeCell ref="A12:R12"/>
  </mergeCells>
  <printOptions horizontalCentered="1"/>
  <pageMargins left="0.75" right="0.75" top="1" bottom="1" header="0.5" footer="0.5"/>
  <pageSetup fitToHeight="1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2026-06-03T13:21:06Z</dcterms:created>
  <dcterms:modified xsi:type="dcterms:W3CDTF">2026-06-03T13:21:06Z</dcterms:modified>
</cp:coreProperties>
</file>