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C8102E"/>
      <sz val="10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color rgb="00C8102E"/>
      <sz val="8"/>
    </font>
    <font>
      <name val="Arial"/>
      <color rgb="002E7D32"/>
      <sz val="8"/>
    </font>
    <font>
      <name val="Arial"/>
      <color rgb="00D4A017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b val="1"/>
      <color rgb="004A7A0F"/>
      <sz val="10"/>
    </font>
    <font>
      <name val="Arial"/>
      <color rgb="004A7A0F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  <fill>
      <patternFill patternType="solid">
        <fgColor rgb="00EFF8E8"/>
        <bgColor rgb="00EFF8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7" borderId="1" applyAlignment="1" pivotButton="0" quotePrefix="0" xfId="0">
      <alignment horizontal="center" vertical="center"/>
    </xf>
    <xf numFmtId="9" fontId="11" fillId="8" borderId="1" applyAlignment="1" pivotButton="0" quotePrefix="0" xfId="0">
      <alignment horizontal="center" vertical="center"/>
    </xf>
    <xf numFmtId="9" fontId="12" fillId="6" borderId="1" applyAlignment="1" pivotButton="0" quotePrefix="0" xfId="0">
      <alignment horizontal="center" vertical="center"/>
    </xf>
    <xf numFmtId="9" fontId="13" fillId="3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9" fontId="15" fillId="9" borderId="1" applyAlignment="1" pivotButton="0" quotePrefix="0" xfId="0">
      <alignment horizontal="center" vertical="center"/>
    </xf>
    <xf numFmtId="9" fontId="16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9" fontId="17" fillId="9" borderId="1" applyAlignment="1" pivotButton="0" quotePrefix="0" xfId="0">
      <alignment horizontal="center" vertical="center"/>
    </xf>
    <xf numFmtId="0" fontId="0" fillId="10" borderId="0" pivotButton="0" quotePrefix="0" xfId="0"/>
    <xf numFmtId="0" fontId="5" fillId="11" borderId="1" applyAlignment="1" pivotButton="0" quotePrefix="0" xfId="0">
      <alignment horizontal="left" vertical="center"/>
    </xf>
    <xf numFmtId="0" fontId="14" fillId="12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left" vertical="center"/>
    </xf>
    <xf numFmtId="0" fontId="11" fillId="8" borderId="1" applyAlignment="1" pivotButton="0" quotePrefix="0" xfId="0">
      <alignment horizontal="center" vertical="center"/>
    </xf>
    <xf numFmtId="0" fontId="19" fillId="3" borderId="1" applyAlignment="1" pivotButton="0" quotePrefix="0" xfId="0">
      <alignment horizontal="center" vertical="center"/>
    </xf>
    <xf numFmtId="164" fontId="20" fillId="8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4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21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9" fontId="23" fillId="14" borderId="1" applyAlignment="1" pivotButton="0" quotePrefix="0" xfId="0">
      <alignment horizontal="center" vertical="center"/>
    </xf>
    <xf numFmtId="9" fontId="24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01/16</t>
        </is>
      </c>
      <c r="D5" s="9" t="inlineStr">
        <is>
          <t>01/23</t>
        </is>
      </c>
      <c r="E5" s="9" t="inlineStr">
        <is>
          <t>01/28</t>
        </is>
      </c>
      <c r="F5" s="9" t="inlineStr">
        <is>
          <t>01/29</t>
        </is>
      </c>
      <c r="G5" s="9" t="inlineStr">
        <is>
          <t>01/31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0" t="inlineStr">
        <is>
          <t>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5" t="n">
        <v>1</v>
      </c>
      <c r="E7" s="15" t="n">
        <v>1</v>
      </c>
      <c r="F7" s="16" t="n">
        <v>0.8</v>
      </c>
      <c r="G7" s="16" t="n">
        <v>0.85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1" t="n">
        <v>1</v>
      </c>
      <c r="F8" s="21" t="n">
        <v>1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3" t="n">
        <v>0.85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3" t="n">
        <v>0.8</v>
      </c>
      <c r="G10" s="23" t="n">
        <v>0.8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8" t="inlineStr">
        <is>
          <t>Y</t>
        </is>
      </c>
      <c r="E14" s="28" t="inlineStr">
        <is>
          <t>Y</t>
        </is>
      </c>
      <c r="F14" s="28" t="inlineStr">
        <is>
          <t>Y</t>
        </is>
      </c>
      <c r="G14" s="28" t="inlineStr">
        <is>
          <t>Y</t>
        </is>
      </c>
      <c r="H14" s="17">
        <f>IFERROR(AVERAGEIFS($C$7:$G$7,C14:G14,"Y"),"")</f>
        <v/>
      </c>
      <c r="I14" s="29">
        <f>COUNTIF(C14:G14,"Y")</f>
        <v/>
      </c>
      <c r="J14" s="30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31" t="n"/>
      <c r="D15" s="28" t="inlineStr">
        <is>
          <t>Y</t>
        </is>
      </c>
      <c r="E15" s="31" t="n"/>
      <c r="F15" s="31" t="n"/>
      <c r="G15" s="31" t="n"/>
      <c r="H15" s="17">
        <f>IFERROR(AVERAGEIFS($C$7:$G$7,C15:G15,"Y"),"")</f>
        <v/>
      </c>
      <c r="I15" s="29">
        <f>COUNTIF(C15:G15,"Y")</f>
        <v/>
      </c>
      <c r="J15" s="30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31" t="n"/>
      <c r="D16" s="31" t="n"/>
      <c r="E16" s="31" t="n"/>
      <c r="F16" s="31" t="n"/>
      <c r="G16" s="31" t="n"/>
      <c r="H16" s="17">
        <f>IFERROR(AVERAGEIFS($C$7:$G$7,C16:G16,"Y"),"")</f>
        <v/>
      </c>
      <c r="I16" s="29">
        <f>COUNTIF(C16:G16,"Y")</f>
        <v/>
      </c>
      <c r="J16" s="30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31" t="n"/>
      <c r="D17" s="31" t="n"/>
      <c r="E17" s="31" t="n"/>
      <c r="F17" s="31" t="n"/>
      <c r="G17" s="31" t="n"/>
      <c r="H17" s="17">
        <f>IFERROR(AVERAGEIFS($C$7:$G$7,C17:G17,"Y"),"")</f>
        <v/>
      </c>
      <c r="I17" s="29">
        <f>COUNTIF(C17:G17,"Y")</f>
        <v/>
      </c>
      <c r="J17" s="30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29">
        <f>COUNTIF(C20:G20,"Y")</f>
        <v/>
      </c>
      <c r="J20" s="30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28" t="inlineStr">
        <is>
          <t>Y</t>
        </is>
      </c>
      <c r="F21" s="18" t="n"/>
      <c r="G21" s="18" t="n"/>
      <c r="H21" s="17">
        <f>IFERROR(AVERAGEIFS($C$7:$G$7,C21:G21,"Y"),"")</f>
        <v/>
      </c>
      <c r="I21" s="29">
        <f>COUNTIF(C21:G21,"Y")</f>
        <v/>
      </c>
      <c r="J21" s="30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28" t="inlineStr">
        <is>
          <t>Y</t>
        </is>
      </c>
      <c r="F22" s="28" t="inlineStr">
        <is>
          <t>Y</t>
        </is>
      </c>
      <c r="G22" s="35" t="n"/>
      <c r="H22" s="17">
        <f>IFERROR(AVERAGEIFS($C$7:$G$7,C22:G22,"Y"),"")</f>
        <v/>
      </c>
      <c r="I22" s="29">
        <f>COUNTIF(C22:G22,"Y")</f>
        <v/>
      </c>
      <c r="J22" s="30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29">
        <f>COUNTIF(C23:G23,"Y")</f>
        <v/>
      </c>
      <c r="J23" s="30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29">
        <f>COUNTIF(C24:G24,"Y")</f>
        <v/>
      </c>
      <c r="J24" s="30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29">
        <f>COUNTIF(C25:G25,"Y")</f>
        <v/>
      </c>
      <c r="J25" s="30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35" t="n"/>
      <c r="F26" s="35" t="n"/>
      <c r="G26" s="28" t="inlineStr">
        <is>
          <t>Y</t>
        </is>
      </c>
      <c r="H26" s="17">
        <f>IFERROR(AVERAGEIFS($C$7:$G$7,C26:G26,"Y"),"")</f>
        <v/>
      </c>
      <c r="I26" s="29">
        <f>COUNTIF(C26:G26,"Y")</f>
        <v/>
      </c>
      <c r="J26" s="30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29">
        <f>COUNTIF(C27:G27,"Y")</f>
        <v/>
      </c>
      <c r="J27" s="30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35" t="n"/>
      <c r="G28" s="35" t="n"/>
      <c r="H28" s="17">
        <f>IFERROR(AVERAGEIFS($C$7:$G$7,C28:G28,"Y"),"")</f>
        <v/>
      </c>
      <c r="I28" s="29">
        <f>COUNTIF(C28:G28,"Y")</f>
        <v/>
      </c>
      <c r="J28" s="30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28" t="inlineStr">
        <is>
          <t>Y</t>
        </is>
      </c>
      <c r="E29" s="18" t="n"/>
      <c r="F29" s="18" t="n"/>
      <c r="G29" s="28" t="inlineStr">
        <is>
          <t>Y</t>
        </is>
      </c>
      <c r="H29" s="17">
        <f>IFERROR(AVERAGEIFS($C$7:$G$7,C29:G29,"Y"),"")</f>
        <v/>
      </c>
      <c r="I29" s="29">
        <f>COUNTIF(C29:G29,"Y")</f>
        <v/>
      </c>
      <c r="J29" s="30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29">
        <f>COUNTIF(C30:G30,"Y")</f>
        <v/>
      </c>
      <c r="J30" s="30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29">
        <f>COUNTIF(C31:G31,"Y")</f>
        <v/>
      </c>
      <c r="J31" s="30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29">
        <f>COUNTIF(C32:G32,"Y")</f>
        <v/>
      </c>
      <c r="J32" s="30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29">
        <f>COUNTIF(C33:G33,"Y")</f>
        <v/>
      </c>
      <c r="J33" s="30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28" t="inlineStr">
        <is>
          <t>Y</t>
        </is>
      </c>
      <c r="E34" s="35" t="n"/>
      <c r="F34" s="28" t="inlineStr">
        <is>
          <t>Y</t>
        </is>
      </c>
      <c r="G34" s="35" t="n"/>
      <c r="H34" s="17">
        <f>IFERROR(AVERAGEIFS($C$7:$G$7,C34:G34,"Y"),"")</f>
        <v/>
      </c>
      <c r="I34" s="29">
        <f>COUNTIF(C34:G34,"Y")</f>
        <v/>
      </c>
      <c r="J34" s="30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28" t="inlineStr">
        <is>
          <t>Y</t>
        </is>
      </c>
      <c r="D35" s="18" t="n"/>
      <c r="E35" s="18" t="n"/>
      <c r="F35" s="28" t="inlineStr">
        <is>
          <t>Y</t>
        </is>
      </c>
      <c r="G35" s="28" t="inlineStr">
        <is>
          <t>Y</t>
        </is>
      </c>
      <c r="H35" s="17">
        <f>IFERROR(AVERAGEIFS($C$7:$G$7,C35:G35,"Y"),"")</f>
        <v/>
      </c>
      <c r="I35" s="29">
        <f>COUNTIF(C35:G35,"Y")</f>
        <v/>
      </c>
      <c r="J35" s="30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29">
        <f>COUNTIF(C36:G36,"Y")</f>
        <v/>
      </c>
      <c r="J36" s="30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28" t="inlineStr">
        <is>
          <t>Y</t>
        </is>
      </c>
      <c r="F37" s="28" t="inlineStr">
        <is>
          <t>Y</t>
        </is>
      </c>
      <c r="G37" s="18" t="n"/>
      <c r="H37" s="17">
        <f>IFERROR(AVERAGEIFS($C$7:$G$7,C37:G37,"Y"),"")</f>
        <v/>
      </c>
      <c r="I37" s="29">
        <f>COUNTIF(C37:G37,"Y")</f>
        <v/>
      </c>
      <c r="J37" s="30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29">
        <f>COUNTIF(C38:G38,"Y")</f>
        <v/>
      </c>
      <c r="J38" s="30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02/07</t>
        </is>
      </c>
      <c r="D5" s="9" t="inlineStr">
        <is>
          <t>02/12</t>
        </is>
      </c>
      <c r="E5" s="9" t="inlineStr">
        <is>
          <t>02/19</t>
        </is>
      </c>
      <c r="F5" s="9" t="inlineStr">
        <is>
          <t>02/22</t>
        </is>
      </c>
      <c r="G5" s="9" t="inlineStr">
        <is>
          <t>02/27</t>
        </is>
      </c>
      <c r="H5" s="9" t="inlineStr">
        <is>
          <t>02/28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0" t="inlineStr">
        <is>
          <t>D</t>
        </is>
      </c>
      <c r="G6" s="11" t="inlineStr">
        <is>
          <t>L</t>
        </is>
      </c>
      <c r="H6" s="10" t="inlineStr">
        <is>
          <t>D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15" t="n">
        <v>1</v>
      </c>
      <c r="D7" s="15" t="n">
        <v>1</v>
      </c>
      <c r="E7" s="14" t="n">
        <v>0.6899999999999999</v>
      </c>
      <c r="F7" s="15" t="n">
        <v>1</v>
      </c>
      <c r="G7" s="15" t="n">
        <v>1</v>
      </c>
      <c r="H7" s="41" t="n">
        <v>0.95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1" t="n">
        <v>1</v>
      </c>
      <c r="E8" s="20" t="n">
        <v>0.6899999999999999</v>
      </c>
      <c r="F8" s="21" t="n">
        <v>1</v>
      </c>
      <c r="G8" s="21" t="n">
        <v>1</v>
      </c>
      <c r="H8" s="42" t="n">
        <v>0.95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1" t="n">
        <v>1</v>
      </c>
      <c r="E10" s="21" t="n">
        <v>1</v>
      </c>
      <c r="F10" s="21" t="n">
        <v>1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8" t="inlineStr">
        <is>
          <t>Y</t>
        </is>
      </c>
      <c r="E14" s="31" t="n"/>
      <c r="F14" s="28" t="inlineStr">
        <is>
          <t>Y</t>
        </is>
      </c>
      <c r="G14" s="31" t="n"/>
      <c r="H14" s="28" t="inlineStr">
        <is>
          <t>Y</t>
        </is>
      </c>
      <c r="I14" s="17">
        <f>IFERROR(AVERAGEIFS($C$7:$H$7,C14:H14,"Y"),"")</f>
        <v/>
      </c>
      <c r="J14" s="29">
        <f>COUNTIF(C14:H14,"Y")</f>
        <v/>
      </c>
      <c r="K14" s="30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31" t="n"/>
      <c r="D15" s="31" t="n"/>
      <c r="E15" s="28" t="inlineStr">
        <is>
          <t>Y</t>
        </is>
      </c>
      <c r="F15" s="31" t="n"/>
      <c r="G15" s="28" t="inlineStr">
        <is>
          <t>Y</t>
        </is>
      </c>
      <c r="H15" s="31" t="n"/>
      <c r="I15" s="17">
        <f>IFERROR(AVERAGEIFS($C$7:$H$7,C15:H15,"Y"),"")</f>
        <v/>
      </c>
      <c r="J15" s="29">
        <f>COUNTIF(C15:H15,"Y")</f>
        <v/>
      </c>
      <c r="K15" s="30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31" t="n"/>
      <c r="D16" s="31" t="n"/>
      <c r="E16" s="31" t="n"/>
      <c r="F16" s="28" t="inlineStr">
        <is>
          <t>Y</t>
        </is>
      </c>
      <c r="G16" s="31" t="n"/>
      <c r="H16" s="28" t="inlineStr">
        <is>
          <t>Y</t>
        </is>
      </c>
      <c r="I16" s="17">
        <f>IFERROR(AVERAGEIFS($C$7:$H$7,C16:H16,"Y"),"")</f>
        <v/>
      </c>
      <c r="J16" s="29">
        <f>COUNTIF(C16:H16,"Y")</f>
        <v/>
      </c>
      <c r="K16" s="30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31" t="n"/>
      <c r="D17" s="31" t="n"/>
      <c r="E17" s="31" t="n"/>
      <c r="F17" s="31" t="n"/>
      <c r="G17" s="31" t="n"/>
      <c r="H17" s="31" t="n"/>
      <c r="I17" s="17">
        <f>IFERROR(AVERAGEIFS($C$7:$H$7,C17:H17,"Y"),"")</f>
        <v/>
      </c>
      <c r="J17" s="29">
        <f>COUNTIF(C17:H17,"Y")</f>
        <v/>
      </c>
      <c r="K17" s="30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29">
        <f>COUNTIF(C20:H20,"Y")</f>
        <v/>
      </c>
      <c r="K20" s="30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29">
        <f>COUNTIF(C21:H21,"Y")</f>
        <v/>
      </c>
      <c r="K21" s="30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35" t="n"/>
      <c r="D22" s="35" t="n"/>
      <c r="E22" s="35" t="n"/>
      <c r="F22" s="35" t="n"/>
      <c r="G22" s="35" t="n"/>
      <c r="H22" s="28" t="inlineStr">
        <is>
          <t>Y</t>
        </is>
      </c>
      <c r="I22" s="17">
        <f>IFERROR(AVERAGEIFS($C$7:$H$7,C22:H22,"Y"),"")</f>
        <v/>
      </c>
      <c r="J22" s="29">
        <f>COUNTIF(C22:H22,"Y")</f>
        <v/>
      </c>
      <c r="K22" s="30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18" t="n"/>
      <c r="H23" s="18" t="n"/>
      <c r="I23" s="17">
        <f>IFERROR(AVERAGEIFS($C$7:$H$7,C23:H23,"Y"),"")</f>
        <v/>
      </c>
      <c r="J23" s="29">
        <f>COUNTIF(C23:H23,"Y")</f>
        <v/>
      </c>
      <c r="K23" s="30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35" t="n"/>
      <c r="I24" s="17">
        <f>IFERROR(AVERAGEIFS($C$7:$H$7,C24:H24,"Y"),"")</f>
        <v/>
      </c>
      <c r="J24" s="29">
        <f>COUNTIF(C24:H24,"Y")</f>
        <v/>
      </c>
      <c r="K24" s="30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29">
        <f>COUNTIF(C25:H25,"Y")</f>
        <v/>
      </c>
      <c r="K25" s="30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35" t="n"/>
      <c r="E26" s="28" t="inlineStr">
        <is>
          <t>Y</t>
        </is>
      </c>
      <c r="F26" s="35" t="n"/>
      <c r="G26" s="28" t="inlineStr">
        <is>
          <t>Y</t>
        </is>
      </c>
      <c r="H26" s="35" t="n"/>
      <c r="I26" s="17">
        <f>IFERROR(AVERAGEIFS($C$7:$H$7,C26:H26,"Y"),"")</f>
        <v/>
      </c>
      <c r="J26" s="29">
        <f>COUNTIF(C26:H26,"Y")</f>
        <v/>
      </c>
      <c r="K26" s="30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29">
        <f>COUNTIF(C27:H27,"Y")</f>
        <v/>
      </c>
      <c r="K27" s="30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35" t="n"/>
      <c r="F28" s="28" t="inlineStr">
        <is>
          <t>Y</t>
        </is>
      </c>
      <c r="G28" s="35" t="n"/>
      <c r="H28" s="28" t="inlineStr">
        <is>
          <t>Y</t>
        </is>
      </c>
      <c r="I28" s="17">
        <f>IFERROR(AVERAGEIFS($C$7:$H$7,C28:H28,"Y"),"")</f>
        <v/>
      </c>
      <c r="J28" s="29">
        <f>COUNTIF(C28:H28,"Y")</f>
        <v/>
      </c>
      <c r="K28" s="30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18" t="n"/>
      <c r="E29" s="18" t="n"/>
      <c r="F29" s="28" t="inlineStr">
        <is>
          <t>Y</t>
        </is>
      </c>
      <c r="G29" s="28" t="inlineStr">
        <is>
          <t>Y</t>
        </is>
      </c>
      <c r="H29" s="28" t="inlineStr">
        <is>
          <t>Y</t>
        </is>
      </c>
      <c r="I29" s="17">
        <f>IFERROR(AVERAGEIFS($C$7:$H$7,C29:H29,"Y"),"")</f>
        <v/>
      </c>
      <c r="J29" s="29">
        <f>COUNTIF(C29:H29,"Y")</f>
        <v/>
      </c>
      <c r="K29" s="30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29">
        <f>COUNTIF(C30:H30,"Y")</f>
        <v/>
      </c>
      <c r="K30" s="30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29">
        <f>COUNTIF(C31:H31,"Y")</f>
        <v/>
      </c>
      <c r="K31" s="30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29">
        <f>COUNTIF(C32:H32,"Y")</f>
        <v/>
      </c>
      <c r="K32" s="30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28" t="inlineStr">
        <is>
          <t>Y</t>
        </is>
      </c>
      <c r="D33" s="18" t="n"/>
      <c r="E33" s="28" t="inlineStr">
        <is>
          <t>Y</t>
        </is>
      </c>
      <c r="F33" s="18" t="n"/>
      <c r="G33" s="28" t="inlineStr">
        <is>
          <t>Y</t>
        </is>
      </c>
      <c r="H33" s="18" t="n"/>
      <c r="I33" s="17">
        <f>IFERROR(AVERAGEIFS($C$7:$H$7,C33:H33,"Y"),"")</f>
        <v/>
      </c>
      <c r="J33" s="29">
        <f>COUNTIF(C33:H33,"Y")</f>
        <v/>
      </c>
      <c r="K33" s="30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35" t="n"/>
      <c r="D34" s="28" t="inlineStr">
        <is>
          <t>Y</t>
        </is>
      </c>
      <c r="E34" s="28" t="inlineStr">
        <is>
          <t>Y</t>
        </is>
      </c>
      <c r="F34" s="28" t="inlineStr">
        <is>
          <t>Y</t>
        </is>
      </c>
      <c r="G34" s="28" t="inlineStr">
        <is>
          <t>Y</t>
        </is>
      </c>
      <c r="H34" s="35" t="n"/>
      <c r="I34" s="17">
        <f>IFERROR(AVERAGEIFS($C$7:$H$7,C34:H34,"Y"),"")</f>
        <v/>
      </c>
      <c r="J34" s="29">
        <f>COUNTIF(C34:H34,"Y")</f>
        <v/>
      </c>
      <c r="K34" s="30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28" t="inlineStr">
        <is>
          <t>Y</t>
        </is>
      </c>
      <c r="D35" s="18" t="n"/>
      <c r="E35" s="28" t="inlineStr">
        <is>
          <t>Y</t>
        </is>
      </c>
      <c r="F35" s="18" t="n"/>
      <c r="G35" s="28" t="inlineStr">
        <is>
          <t>Y</t>
        </is>
      </c>
      <c r="H35" s="28" t="inlineStr">
        <is>
          <t>Y</t>
        </is>
      </c>
      <c r="I35" s="17">
        <f>IFERROR(AVERAGEIFS($C$7:$H$7,C35:H35,"Y"),"")</f>
        <v/>
      </c>
      <c r="J35" s="29">
        <f>COUNTIF(C35:H35,"Y")</f>
        <v/>
      </c>
      <c r="K35" s="30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35" t="n"/>
      <c r="I36" s="17">
        <f>IFERROR(AVERAGEIFS($C$7:$H$7,C36:H36,"Y"),"")</f>
        <v/>
      </c>
      <c r="J36" s="29">
        <f>COUNTIF(C36:H36,"Y")</f>
        <v/>
      </c>
      <c r="K36" s="30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18" t="n"/>
      <c r="D37" s="28" t="inlineStr">
        <is>
          <t>Y</t>
        </is>
      </c>
      <c r="E37" s="18" t="n"/>
      <c r="F37" s="28" t="inlineStr">
        <is>
          <t>Y</t>
        </is>
      </c>
      <c r="G37" s="18" t="n"/>
      <c r="H37" s="18" t="n"/>
      <c r="I37" s="17">
        <f>IFERROR(AVERAGEIFS($C$7:$H$7,C37:H37,"Y"),"")</f>
        <v/>
      </c>
      <c r="J37" s="29">
        <f>COUNTIF(C37:H37,"Y")</f>
        <v/>
      </c>
      <c r="K37" s="30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29">
        <f>COUNTIF(C38:H38,"Y")</f>
        <v/>
      </c>
      <c r="K38" s="30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9" customWidth="1" min="8" max="8"/>
    <col width="7" customWidth="1" min="9" max="9"/>
    <col width="10" customWidth="1" min="10" max="10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5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6" t="inlineStr">
        <is>
          <t>AVG</t>
        </is>
      </c>
      <c r="I4" s="6" t="inlineStr">
        <is>
          <t>N</t>
        </is>
      </c>
      <c r="J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03/05</t>
        </is>
      </c>
      <c r="D5" s="9" t="inlineStr">
        <is>
          <t>03/09</t>
        </is>
      </c>
      <c r="E5" s="9" t="inlineStr">
        <is>
          <t>03/15</t>
        </is>
      </c>
      <c r="F5" s="9" t="inlineStr">
        <is>
          <t>03/24</t>
        </is>
      </c>
      <c r="G5" s="9" t="inlineStr">
        <is>
          <t>03/31</t>
        </is>
      </c>
      <c r="H5" s="7" t="inlineStr"/>
      <c r="I5" s="7" t="inlineStr"/>
      <c r="J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LD</t>
        </is>
      </c>
      <c r="G6" s="11" t="inlineStr">
        <is>
          <t>L</t>
        </is>
      </c>
      <c r="H6" s="7" t="inlineStr"/>
      <c r="I6" s="7" t="inlineStr"/>
      <c r="J6" s="7" t="inlineStr"/>
    </row>
    <row r="7" ht="18" customHeight="1">
      <c r="A7" s="12" t="inlineStr"/>
      <c r="B7" s="13" t="inlineStr">
        <is>
          <t>Total Score</t>
        </is>
      </c>
      <c r="C7" s="14" t="n">
        <v>0.72</v>
      </c>
      <c r="D7" s="16" t="n">
        <v>0.8</v>
      </c>
      <c r="E7" s="14" t="n">
        <v>0.72</v>
      </c>
      <c r="F7" s="14" t="n">
        <v>0.49</v>
      </c>
      <c r="G7" s="15" t="n">
        <v>1</v>
      </c>
      <c r="H7" s="17">
        <f>IFERROR(AVERAGE(C7:G7),"")</f>
        <v/>
      </c>
      <c r="I7" s="12" t="inlineStr"/>
      <c r="J7" s="12" t="inlineStr"/>
    </row>
    <row r="8" ht="13" customHeight="1">
      <c r="A8" s="18" t="inlineStr"/>
      <c r="B8" s="19" t="inlineStr">
        <is>
          <t>Service</t>
        </is>
      </c>
      <c r="C8" s="20" t="n">
        <v>0.72</v>
      </c>
      <c r="D8" s="21" t="n">
        <v>1</v>
      </c>
      <c r="E8" s="20" t="n">
        <v>0.72</v>
      </c>
      <c r="F8" s="20" t="n">
        <v>0.77</v>
      </c>
      <c r="G8" s="21" t="n">
        <v>1</v>
      </c>
      <c r="H8" s="22">
        <f>IFERROR(AVERAGE(C8:G8),"")</f>
        <v/>
      </c>
      <c r="I8" s="18" t="inlineStr"/>
      <c r="J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2">
        <f>IFERROR(AVERAGE(C9:G9),"")</f>
        <v/>
      </c>
      <c r="I9" s="18" t="inlineStr"/>
      <c r="J9" s="18" t="inlineStr"/>
    </row>
    <row r="10" ht="13" customHeight="1">
      <c r="A10" s="18" t="inlineStr"/>
      <c r="B10" s="19" t="inlineStr">
        <is>
          <t>Cleanliness</t>
        </is>
      </c>
      <c r="C10" s="21" t="n">
        <v>1</v>
      </c>
      <c r="D10" s="23" t="n">
        <v>0.8</v>
      </c>
      <c r="E10" s="21" t="n">
        <v>1</v>
      </c>
      <c r="F10" s="20" t="n">
        <v>0.72</v>
      </c>
      <c r="G10" s="21" t="n">
        <v>1</v>
      </c>
      <c r="H10" s="22">
        <f>IFERROR(AVERAGE(C10:G10),"")</f>
        <v/>
      </c>
      <c r="I10" s="18" t="inlineStr"/>
      <c r="J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21" t="n">
        <v>1</v>
      </c>
      <c r="G11" s="21" t="n">
        <v>1</v>
      </c>
      <c r="H11" s="22">
        <f>IFERROR(AVERAGE(C11:G11),"")</f>
        <v/>
      </c>
      <c r="I11" s="18" t="inlineStr"/>
      <c r="J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28" t="inlineStr">
        <is>
          <t>Y</t>
        </is>
      </c>
      <c r="E14" s="31" t="n"/>
      <c r="F14" s="28" t="inlineStr">
        <is>
          <t>Y</t>
        </is>
      </c>
      <c r="G14" s="28" t="inlineStr">
        <is>
          <t>Y</t>
        </is>
      </c>
      <c r="H14" s="17">
        <f>IFERROR(AVERAGEIFS($C$7:$G$7,C14:G14,"Y"),"")</f>
        <v/>
      </c>
      <c r="I14" s="29">
        <f>COUNTIF(C14:G14,"Y")</f>
        <v/>
      </c>
      <c r="J14" s="30">
        <f>SUMPRODUCT((C$7:$G$7=1)*(C14:G14="Y"))*50</f>
        <v/>
      </c>
    </row>
    <row r="15" ht="17" customHeight="1">
      <c r="A15" s="26" t="n">
        <v>2</v>
      </c>
      <c r="B15" s="27" t="inlineStr">
        <is>
          <t>Vicki L.</t>
        </is>
      </c>
      <c r="C15" s="31" t="n"/>
      <c r="D15" s="31" t="n"/>
      <c r="E15" s="28" t="inlineStr">
        <is>
          <t>Y</t>
        </is>
      </c>
      <c r="F15" s="31" t="n"/>
      <c r="G15" s="28" t="inlineStr">
        <is>
          <t>Y</t>
        </is>
      </c>
      <c r="H15" s="17">
        <f>IFERROR(AVERAGEIFS($C$7:$G$7,C15:G15,"Y"),"")</f>
        <v/>
      </c>
      <c r="I15" s="29">
        <f>COUNTIF(C15:G15,"Y")</f>
        <v/>
      </c>
      <c r="J15" s="30">
        <f>SUMPRODUCT((C$7:$G$7=1)*(C15:G15="Y"))*50</f>
        <v/>
      </c>
    </row>
    <row r="16" ht="17" customHeight="1">
      <c r="A16" s="26" t="n">
        <v>3</v>
      </c>
      <c r="B16" s="27" t="inlineStr">
        <is>
          <t>Kasey W.</t>
        </is>
      </c>
      <c r="C16" s="28" t="inlineStr">
        <is>
          <t>Y</t>
        </is>
      </c>
      <c r="D16" s="31" t="n"/>
      <c r="E16" s="28" t="inlineStr">
        <is>
          <t>Y</t>
        </is>
      </c>
      <c r="F16" s="31" t="n"/>
      <c r="G16" s="31" t="n"/>
      <c r="H16" s="17">
        <f>IFERROR(AVERAGEIFS($C$7:$G$7,C16:G16,"Y"),"")</f>
        <v/>
      </c>
      <c r="I16" s="29">
        <f>COUNTIF(C16:G16,"Y")</f>
        <v/>
      </c>
      <c r="J16" s="30">
        <f>SUMPRODUCT((C$7:$G$7=1)*(C16:G16="Y"))*50</f>
        <v/>
      </c>
    </row>
    <row r="17" ht="17" customHeight="1">
      <c r="A17" s="26" t="n">
        <v>4</v>
      </c>
      <c r="B17" s="27" t="inlineStr">
        <is>
          <t>Nathan R.</t>
        </is>
      </c>
      <c r="C17" s="31" t="n"/>
      <c r="D17" s="31" t="n"/>
      <c r="E17" s="31" t="n"/>
      <c r="F17" s="31" t="n"/>
      <c r="G17" s="28" t="inlineStr">
        <is>
          <t>Y</t>
        </is>
      </c>
      <c r="H17" s="17">
        <f>IFERROR(AVERAGEIFS($C$7:$G$7,C17:G17,"Y"),"")</f>
        <v/>
      </c>
      <c r="I17" s="29">
        <f>COUNTIF(C17:G17,"Y")</f>
        <v/>
      </c>
      <c r="J17" s="30">
        <f>SUMPRODUCT((C$7:$G$7=1)*(C17:G17="Y"))*50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17">
        <f>IFERROR(AVERAGEIFS($C$7:$G$7,C20:G20,"Y"),"")</f>
        <v/>
      </c>
      <c r="I20" s="29">
        <f>COUNTIF(C20:G20,"Y")</f>
        <v/>
      </c>
      <c r="J20" s="30">
        <f>SUMPRODUCT((C$7:$G$7=1)*(C20:G20="Y"))*50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7">
        <f>IFERROR(AVERAGEIFS($C$7:$G$7,C21:G21,"Y"),"")</f>
        <v/>
      </c>
      <c r="I21" s="29">
        <f>COUNTIF(C21:G21,"Y")</f>
        <v/>
      </c>
      <c r="J21" s="30">
        <f>SUMPRODUCT((C$7:$G$7=1)*(C21:G21="Y"))*50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28" t="inlineStr">
        <is>
          <t>Y</t>
        </is>
      </c>
      <c r="G22" s="35" t="n"/>
      <c r="H22" s="17">
        <f>IFERROR(AVERAGEIFS($C$7:$G$7,C22:G22,"Y"),"")</f>
        <v/>
      </c>
      <c r="I22" s="29">
        <f>COUNTIF(C22:G22,"Y")</f>
        <v/>
      </c>
      <c r="J22" s="30">
        <f>SUMPRODUCT((C$7:$G$7=1)*(C22:G22="Y"))*50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28" t="inlineStr">
        <is>
          <t>Y</t>
        </is>
      </c>
      <c r="F23" s="18" t="n"/>
      <c r="G23" s="18" t="n"/>
      <c r="H23" s="17">
        <f>IFERROR(AVERAGEIFS($C$7:$G$7,C23:G23,"Y"),"")</f>
        <v/>
      </c>
      <c r="I23" s="29">
        <f>COUNTIF(C23:G23,"Y")</f>
        <v/>
      </c>
      <c r="J23" s="30">
        <f>SUMPRODUCT((C$7:$G$7=1)*(C23:G23="Y"))*50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17">
        <f>IFERROR(AVERAGEIFS($C$7:$G$7,C24:G24,"Y"),"")</f>
        <v/>
      </c>
      <c r="I24" s="29">
        <f>COUNTIF(C24:G24,"Y")</f>
        <v/>
      </c>
      <c r="J24" s="30">
        <f>SUMPRODUCT((C$7:$G$7=1)*(C24:G24="Y"))*50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7">
        <f>IFERROR(AVERAGEIFS($C$7:$G$7,C25:G25,"Y"),"")</f>
        <v/>
      </c>
      <c r="I25" s="29">
        <f>COUNTIF(C25:G25,"Y")</f>
        <v/>
      </c>
      <c r="J25" s="30">
        <f>SUMPRODUCT((C$7:$G$7=1)*(C25:G25="Y"))*50</f>
        <v/>
      </c>
    </row>
    <row r="26" ht="17" customHeight="1">
      <c r="A26" s="33" t="n">
        <v>7</v>
      </c>
      <c r="B26" s="34" t="inlineStr">
        <is>
          <t>Francisco</t>
        </is>
      </c>
      <c r="C26" s="28" t="inlineStr">
        <is>
          <t>Y</t>
        </is>
      </c>
      <c r="D26" s="28" t="inlineStr">
        <is>
          <t>Y</t>
        </is>
      </c>
      <c r="E26" s="28" t="inlineStr">
        <is>
          <t>Y</t>
        </is>
      </c>
      <c r="F26" s="35" t="n"/>
      <c r="G26" s="28" t="inlineStr">
        <is>
          <t>Y</t>
        </is>
      </c>
      <c r="H26" s="17">
        <f>IFERROR(AVERAGEIFS($C$7:$G$7,C26:G26,"Y"),"")</f>
        <v/>
      </c>
      <c r="I26" s="29">
        <f>COUNTIF(C26:G26,"Y")</f>
        <v/>
      </c>
      <c r="J26" s="30">
        <f>SUMPRODUCT((C$7:$G$7=1)*(C26:G26="Y"))*50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7">
        <f>IFERROR(AVERAGEIFS($C$7:$G$7,C27:G27,"Y"),"")</f>
        <v/>
      </c>
      <c r="I27" s="29">
        <f>COUNTIF(C27:G27,"Y")</f>
        <v/>
      </c>
      <c r="J27" s="30">
        <f>SUMPRODUCT((C$7:$G$7=1)*(C27:G27="Y"))*50</f>
        <v/>
      </c>
    </row>
    <row r="28" ht="17" customHeight="1">
      <c r="A28" s="33" t="n">
        <v>9</v>
      </c>
      <c r="B28" s="34" t="inlineStr">
        <is>
          <t>Jada</t>
        </is>
      </c>
      <c r="C28" s="35" t="n"/>
      <c r="D28" s="35" t="n"/>
      <c r="E28" s="28" t="inlineStr">
        <is>
          <t>Y</t>
        </is>
      </c>
      <c r="F28" s="28" t="inlineStr">
        <is>
          <t>Y</t>
        </is>
      </c>
      <c r="G28" s="35" t="n"/>
      <c r="H28" s="17">
        <f>IFERROR(AVERAGEIFS($C$7:$G$7,C28:G28,"Y"),"")</f>
        <v/>
      </c>
      <c r="I28" s="29">
        <f>COUNTIF(C28:G28,"Y")</f>
        <v/>
      </c>
      <c r="J28" s="30">
        <f>SUMPRODUCT((C$7:$G$7=1)*(C28:G28="Y"))*50</f>
        <v/>
      </c>
    </row>
    <row r="29" ht="17" customHeight="1">
      <c r="A29" s="36" t="n">
        <v>10</v>
      </c>
      <c r="B29" s="37" t="inlineStr">
        <is>
          <t>Jeremiah</t>
        </is>
      </c>
      <c r="C29" s="18" t="n"/>
      <c r="D29" s="18" t="n"/>
      <c r="E29" s="28" t="inlineStr">
        <is>
          <t>Y</t>
        </is>
      </c>
      <c r="F29" s="18" t="n"/>
      <c r="G29" s="18" t="n"/>
      <c r="H29" s="17">
        <f>IFERROR(AVERAGEIFS($C$7:$G$7,C29:G29,"Y"),"")</f>
        <v/>
      </c>
      <c r="I29" s="29">
        <f>COUNTIF(C29:G29,"Y")</f>
        <v/>
      </c>
      <c r="J29" s="30">
        <f>SUMPRODUCT((C$7:$G$7=1)*(C29:G29="Y"))*50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17">
        <f>IFERROR(AVERAGEIFS($C$7:$G$7,C30:G30,"Y"),"")</f>
        <v/>
      </c>
      <c r="I30" s="29">
        <f>COUNTIF(C30:G30,"Y")</f>
        <v/>
      </c>
      <c r="J30" s="30">
        <f>SUMPRODUCT((C$7:$G$7=1)*(C30:G30="Y"))*50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7">
        <f>IFERROR(AVERAGEIFS($C$7:$G$7,C31:G31,"Y"),"")</f>
        <v/>
      </c>
      <c r="I31" s="29">
        <f>COUNTIF(C31:G31,"Y")</f>
        <v/>
      </c>
      <c r="J31" s="30">
        <f>SUMPRODUCT((C$7:$G$7=1)*(C31:G31="Y"))*50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17">
        <f>IFERROR(AVERAGEIFS($C$7:$G$7,C32:G32,"Y"),"")</f>
        <v/>
      </c>
      <c r="I32" s="29">
        <f>COUNTIF(C32:G32,"Y")</f>
        <v/>
      </c>
      <c r="J32" s="30">
        <f>SUMPRODUCT((C$7:$G$7=1)*(C32:G32="Y"))*50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18" t="n"/>
      <c r="G33" s="28" t="inlineStr">
        <is>
          <t>Y</t>
        </is>
      </c>
      <c r="H33" s="17">
        <f>IFERROR(AVERAGEIFS($C$7:$G$7,C33:G33,"Y"),"")</f>
        <v/>
      </c>
      <c r="I33" s="29">
        <f>COUNTIF(C33:G33,"Y")</f>
        <v/>
      </c>
      <c r="J33" s="30">
        <f>SUMPRODUCT((C$7:$G$7=1)*(C33:G33="Y"))*50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28" t="inlineStr">
        <is>
          <t>Y</t>
        </is>
      </c>
      <c r="E34" s="28" t="inlineStr">
        <is>
          <t>Y</t>
        </is>
      </c>
      <c r="F34" s="28" t="inlineStr">
        <is>
          <t>Y</t>
        </is>
      </c>
      <c r="G34" s="28" t="inlineStr">
        <is>
          <t>Y</t>
        </is>
      </c>
      <c r="H34" s="17">
        <f>IFERROR(AVERAGEIFS($C$7:$G$7,C34:G34,"Y"),"")</f>
        <v/>
      </c>
      <c r="I34" s="29">
        <f>COUNTIF(C34:G34,"Y")</f>
        <v/>
      </c>
      <c r="J34" s="30">
        <f>SUMPRODUCT((C$7:$G$7=1)*(C34:G34="Y"))*50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7">
        <f>IFERROR(AVERAGEIFS($C$7:$G$7,C35:G35,"Y"),"")</f>
        <v/>
      </c>
      <c r="I35" s="29">
        <f>COUNTIF(C35:G35,"Y")</f>
        <v/>
      </c>
      <c r="J35" s="30">
        <f>SUMPRODUCT((C$7:$G$7=1)*(C35:G35="Y"))*50</f>
        <v/>
      </c>
    </row>
    <row r="36" ht="17" customHeight="1">
      <c r="A36" s="33" t="n">
        <v>17</v>
      </c>
      <c r="B36" s="34" t="inlineStr">
        <is>
          <t>Richard</t>
        </is>
      </c>
      <c r="C36" s="35" t="n"/>
      <c r="D36" s="35" t="n"/>
      <c r="E36" s="35" t="n"/>
      <c r="F36" s="35" t="n"/>
      <c r="G36" s="35" t="n"/>
      <c r="H36" s="17">
        <f>IFERROR(AVERAGEIFS($C$7:$G$7,C36:G36,"Y"),"")</f>
        <v/>
      </c>
      <c r="I36" s="29">
        <f>COUNTIF(C36:G36,"Y")</f>
        <v/>
      </c>
      <c r="J36" s="30">
        <f>SUMPRODUCT((C$7:$G$7=1)*(C36:G36="Y"))*50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7">
        <f>IFERROR(AVERAGEIFS($C$7:$G$7,C37:G37,"Y"),"")</f>
        <v/>
      </c>
      <c r="I37" s="29">
        <f>COUNTIF(C37:G37,"Y")</f>
        <v/>
      </c>
      <c r="J37" s="30">
        <f>SUMPRODUCT((C$7:$G$7=1)*(C37:G37="Y"))*50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17">
        <f>IFERROR(AVERAGEIFS($C$7:$G$7,C38:G38,"Y"),"")</f>
        <v/>
      </c>
      <c r="I38" s="29">
        <f>COUNTIF(C38:G38,"Y")</f>
        <v/>
      </c>
      <c r="J38" s="30">
        <f>SUMPRODUCT((C$7:$G$7=1)*(C38:G38="Y"))*50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3" t="inlineStr"/>
      <c r="I39" s="6">
        <f>SUM(I14:I38)</f>
        <v/>
      </c>
      <c r="J39" s="39">
        <f>SUM(J14:J38)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:J1"/>
    <mergeCell ref="A40:J40"/>
    <mergeCell ref="A18:J18"/>
    <mergeCell ref="A12:J12"/>
    <mergeCell ref="A19:J19"/>
    <mergeCell ref="A2:J2"/>
    <mergeCell ref="A13:J13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9" customWidth="1" min="9" max="9"/>
    <col width="7" customWidth="1" min="10" max="10"/>
    <col width="10" customWidth="1" min="11" max="11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6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6" t="inlineStr">
        <is>
          <t>AVG</t>
        </is>
      </c>
      <c r="J4" s="6" t="inlineStr">
        <is>
          <t>N</t>
        </is>
      </c>
      <c r="K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04/02</t>
        </is>
      </c>
      <c r="D5" s="9" t="inlineStr">
        <is>
          <t>04/09</t>
        </is>
      </c>
      <c r="E5" s="9" t="inlineStr">
        <is>
          <t>04/11</t>
        </is>
      </c>
      <c r="F5" s="9" t="inlineStr">
        <is>
          <t>04/17</t>
        </is>
      </c>
      <c r="G5" s="9" t="inlineStr">
        <is>
          <t>04/23</t>
        </is>
      </c>
      <c r="H5" s="9" t="inlineStr">
        <is>
          <t>04/25</t>
        </is>
      </c>
      <c r="I5" s="7" t="inlineStr"/>
      <c r="J5" s="7" t="inlineStr"/>
      <c r="K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1" t="inlineStr">
        <is>
          <t>L</t>
        </is>
      </c>
      <c r="I6" s="7" t="inlineStr"/>
      <c r="J6" s="7" t="inlineStr"/>
      <c r="K6" s="7" t="inlineStr"/>
    </row>
    <row r="7" ht="18" customHeight="1">
      <c r="A7" s="12" t="inlineStr"/>
      <c r="B7" s="13" t="inlineStr">
        <is>
          <t>Total Score</t>
        </is>
      </c>
      <c r="C7" s="41" t="n">
        <v>0.97</v>
      </c>
      <c r="D7" s="16" t="n">
        <v>0.87</v>
      </c>
      <c r="E7" s="41" t="n">
        <v>0.95</v>
      </c>
      <c r="F7" s="14" t="n">
        <v>0.47</v>
      </c>
      <c r="G7" s="15" t="n">
        <v>1</v>
      </c>
      <c r="H7" s="16" t="n">
        <v>0.87</v>
      </c>
      <c r="I7" s="17">
        <f>IFERROR(AVERAGE(C7:H7),"")</f>
        <v/>
      </c>
      <c r="J7" s="12" t="inlineStr"/>
      <c r="K7" s="12" t="inlineStr"/>
    </row>
    <row r="8" ht="13" customHeight="1">
      <c r="A8" s="18" t="inlineStr"/>
      <c r="B8" s="19" t="inlineStr">
        <is>
          <t>Service</t>
        </is>
      </c>
      <c r="C8" s="21" t="n">
        <v>1</v>
      </c>
      <c r="D8" s="23" t="n">
        <v>0.87</v>
      </c>
      <c r="E8" s="42" t="n">
        <v>0.95</v>
      </c>
      <c r="F8" s="20" t="n">
        <v>0.77</v>
      </c>
      <c r="G8" s="21" t="n">
        <v>1</v>
      </c>
      <c r="H8" s="23" t="n">
        <v>0.87</v>
      </c>
      <c r="I8" s="22">
        <f>IFERROR(AVERAGE(C8:H8),"")</f>
        <v/>
      </c>
      <c r="J8" s="18" t="inlineStr"/>
      <c r="K8" s="18" t="inlineStr"/>
    </row>
    <row r="9" ht="13" customHeight="1">
      <c r="A9" s="18" t="inlineStr"/>
      <c r="B9" s="19" t="inlineStr">
        <is>
          <t>Quality</t>
        </is>
      </c>
      <c r="C9" s="21" t="n">
        <v>1</v>
      </c>
      <c r="D9" s="21" t="n">
        <v>1</v>
      </c>
      <c r="E9" s="21" t="n">
        <v>1</v>
      </c>
      <c r="F9" s="21" t="n">
        <v>1</v>
      </c>
      <c r="G9" s="21" t="n">
        <v>1</v>
      </c>
      <c r="H9" s="21" t="n">
        <v>1</v>
      </c>
      <c r="I9" s="22">
        <f>IFERROR(AVERAGE(C9:H9),"")</f>
        <v/>
      </c>
      <c r="J9" s="18" t="inlineStr"/>
      <c r="K9" s="18" t="inlineStr"/>
    </row>
    <row r="10" ht="13" customHeight="1">
      <c r="A10" s="18" t="inlineStr"/>
      <c r="B10" s="19" t="inlineStr">
        <is>
          <t>Cleanliness</t>
        </is>
      </c>
      <c r="C10" s="42" t="n">
        <v>0.97</v>
      </c>
      <c r="D10" s="21" t="n">
        <v>1</v>
      </c>
      <c r="E10" s="21" t="n">
        <v>1</v>
      </c>
      <c r="F10" s="23" t="n">
        <v>0.8</v>
      </c>
      <c r="G10" s="21" t="n">
        <v>1</v>
      </c>
      <c r="H10" s="21" t="n">
        <v>1</v>
      </c>
      <c r="I10" s="22">
        <f>IFERROR(AVERAGE(C10:H10),"")</f>
        <v/>
      </c>
      <c r="J10" s="18" t="inlineStr"/>
      <c r="K10" s="18" t="inlineStr"/>
    </row>
    <row r="11" ht="13" customHeight="1">
      <c r="A11" s="18" t="inlineStr"/>
      <c r="B11" s="19" t="inlineStr">
        <is>
          <t>Customer Sat</t>
        </is>
      </c>
      <c r="C11" s="21" t="n">
        <v>1</v>
      </c>
      <c r="D11" s="21" t="n">
        <v>1</v>
      </c>
      <c r="E11" s="21" t="n">
        <v>1</v>
      </c>
      <c r="F11" s="42" t="n">
        <v>0.9</v>
      </c>
      <c r="G11" s="21" t="n">
        <v>1</v>
      </c>
      <c r="H11" s="21" t="n">
        <v>1</v>
      </c>
      <c r="I11" s="22">
        <f>IFERROR(AVERAGE(C11:H11),"")</f>
        <v/>
      </c>
      <c r="J11" s="18" t="inlineStr"/>
      <c r="K11" s="18" t="inlineStr"/>
    </row>
    <row r="12" ht="6" customHeight="1">
      <c r="A12" s="24" t="n"/>
    </row>
    <row r="13" ht="18" customHeight="1">
      <c r="A13" s="25" t="inlineStr">
        <is>
          <t>MANAGERS</t>
        </is>
      </c>
    </row>
    <row r="14" ht="17" customHeight="1">
      <c r="A14" s="26" t="n">
        <v>1</v>
      </c>
      <c r="B14" s="27" t="inlineStr">
        <is>
          <t>Madison C.</t>
        </is>
      </c>
      <c r="C14" s="28" t="inlineStr">
        <is>
          <t>Y</t>
        </is>
      </c>
      <c r="D14" s="31" t="n"/>
      <c r="E14" s="31" t="n"/>
      <c r="F14" s="31" t="n"/>
      <c r="G14" s="31" t="n"/>
      <c r="H14" s="31" t="n"/>
      <c r="I14" s="17">
        <f>IFERROR(AVERAGEIFS($C$7:$H$7,C14:H14,"Y"),"")</f>
        <v/>
      </c>
      <c r="J14" s="29">
        <f>COUNTIF(C14:H14,"Y")</f>
        <v/>
      </c>
      <c r="K14" s="30">
        <f>SUMPRODUCT((C$7:$H$7=1)*(C14:H14="Y"))*50</f>
        <v/>
      </c>
    </row>
    <row r="15" ht="17" customHeight="1">
      <c r="A15" s="26" t="n">
        <v>2</v>
      </c>
      <c r="B15" s="27" t="inlineStr">
        <is>
          <t>Vicki L.</t>
        </is>
      </c>
      <c r="C15" s="31" t="n"/>
      <c r="D15" s="28" t="inlineStr">
        <is>
          <t>Y</t>
        </is>
      </c>
      <c r="E15" s="31" t="n"/>
      <c r="F15" s="28" t="inlineStr">
        <is>
          <t>Y</t>
        </is>
      </c>
      <c r="G15" s="31" t="n"/>
      <c r="H15" s="31" t="n"/>
      <c r="I15" s="17">
        <f>IFERROR(AVERAGEIFS($C$7:$H$7,C15:H15,"Y"),"")</f>
        <v/>
      </c>
      <c r="J15" s="29">
        <f>COUNTIF(C15:H15,"Y")</f>
        <v/>
      </c>
      <c r="K15" s="30">
        <f>SUMPRODUCT((C$7:$H$7=1)*(C15:H15="Y"))*50</f>
        <v/>
      </c>
    </row>
    <row r="16" ht="17" customHeight="1">
      <c r="A16" s="26" t="n">
        <v>3</v>
      </c>
      <c r="B16" s="27" t="inlineStr">
        <is>
          <t>Kasey W.</t>
        </is>
      </c>
      <c r="C16" s="31" t="n"/>
      <c r="D16" s="28" t="inlineStr">
        <is>
          <t>Y</t>
        </is>
      </c>
      <c r="E16" s="31" t="n"/>
      <c r="F16" s="31" t="n"/>
      <c r="G16" s="28" t="inlineStr">
        <is>
          <t>Y</t>
        </is>
      </c>
      <c r="H16" s="31" t="n"/>
      <c r="I16" s="17">
        <f>IFERROR(AVERAGEIFS($C$7:$H$7,C16:H16,"Y"),"")</f>
        <v/>
      </c>
      <c r="J16" s="29">
        <f>COUNTIF(C16:H16,"Y")</f>
        <v/>
      </c>
      <c r="K16" s="30">
        <f>SUMPRODUCT((C$7:$H$7=1)*(C16:H16="Y"))*50</f>
        <v/>
      </c>
    </row>
    <row r="17" ht="17" customHeight="1">
      <c r="A17" s="26" t="n">
        <v>4</v>
      </c>
      <c r="B17" s="27" t="inlineStr">
        <is>
          <t>Nathan R.</t>
        </is>
      </c>
      <c r="C17" s="31" t="n"/>
      <c r="D17" s="31" t="n"/>
      <c r="E17" s="28" t="inlineStr">
        <is>
          <t>Y</t>
        </is>
      </c>
      <c r="F17" s="31" t="n"/>
      <c r="G17" s="28" t="inlineStr">
        <is>
          <t>Y</t>
        </is>
      </c>
      <c r="H17" s="28" t="inlineStr">
        <is>
          <t>Y</t>
        </is>
      </c>
      <c r="I17" s="17">
        <f>IFERROR(AVERAGEIFS($C$7:$H$7,C17:H17,"Y"),"")</f>
        <v/>
      </c>
      <c r="J17" s="29">
        <f>COUNTIF(C17:H17,"Y")</f>
        <v/>
      </c>
      <c r="K17" s="30">
        <f>SUMPRODUCT((C$7:$H$7=1)*(C17:H17="Y"))*50</f>
        <v/>
      </c>
    </row>
    <row r="18" ht="6" customHeight="1">
      <c r="A18" s="24" t="n"/>
    </row>
    <row r="19" ht="18" customHeight="1">
      <c r="A19" s="32" t="inlineStr">
        <is>
          <t>CREW</t>
        </is>
      </c>
    </row>
    <row r="20" ht="17" customHeight="1">
      <c r="A20" s="33" t="n">
        <v>1</v>
      </c>
      <c r="B20" s="34" t="inlineStr">
        <is>
          <t>Alen</t>
        </is>
      </c>
      <c r="C20" s="35" t="n"/>
      <c r="D20" s="35" t="n"/>
      <c r="E20" s="35" t="n"/>
      <c r="F20" s="35" t="n"/>
      <c r="G20" s="35" t="n"/>
      <c r="H20" s="35" t="n"/>
      <c r="I20" s="17">
        <f>IFERROR(AVERAGEIFS($C$7:$H$7,C20:H20,"Y"),"")</f>
        <v/>
      </c>
      <c r="J20" s="29">
        <f>COUNTIF(C20:H20,"Y")</f>
        <v/>
      </c>
      <c r="K20" s="30">
        <f>SUMPRODUCT((C$7:$H$7=1)*(C20:H20="Y"))*50</f>
        <v/>
      </c>
    </row>
    <row r="21" ht="17" customHeight="1">
      <c r="A21" s="36" t="n">
        <v>2</v>
      </c>
      <c r="B21" s="37" t="inlineStr">
        <is>
          <t>Ash</t>
        </is>
      </c>
      <c r="C21" s="18" t="n"/>
      <c r="D21" s="18" t="n"/>
      <c r="E21" s="18" t="n"/>
      <c r="F21" s="18" t="n"/>
      <c r="G21" s="18" t="n"/>
      <c r="H21" s="18" t="n"/>
      <c r="I21" s="17">
        <f>IFERROR(AVERAGEIFS($C$7:$H$7,C21:H21,"Y"),"")</f>
        <v/>
      </c>
      <c r="J21" s="29">
        <f>COUNTIF(C21:H21,"Y")</f>
        <v/>
      </c>
      <c r="K21" s="30">
        <f>SUMPRODUCT((C$7:$H$7=1)*(C21:H21="Y"))*50</f>
        <v/>
      </c>
    </row>
    <row r="22" ht="17" customHeight="1">
      <c r="A22" s="33" t="n">
        <v>3</v>
      </c>
      <c r="B22" s="34" t="inlineStr">
        <is>
          <t>Autumn</t>
        </is>
      </c>
      <c r="C22" s="28" t="inlineStr">
        <is>
          <t>Y</t>
        </is>
      </c>
      <c r="D22" s="35" t="n"/>
      <c r="E22" s="35" t="n"/>
      <c r="F22" s="35" t="n"/>
      <c r="G22" s="28" t="inlineStr">
        <is>
          <t>Y</t>
        </is>
      </c>
      <c r="H22" s="35" t="n"/>
      <c r="I22" s="17">
        <f>IFERROR(AVERAGEIFS($C$7:$H$7,C22:H22,"Y"),"")</f>
        <v/>
      </c>
      <c r="J22" s="29">
        <f>COUNTIF(C22:H22,"Y")</f>
        <v/>
      </c>
      <c r="K22" s="30">
        <f>SUMPRODUCT((C$7:$H$7=1)*(C22:H22="Y"))*50</f>
        <v/>
      </c>
    </row>
    <row r="23" ht="17" customHeight="1">
      <c r="A23" s="36" t="n">
        <v>4</v>
      </c>
      <c r="B23" s="37" t="inlineStr">
        <is>
          <t>Bri</t>
        </is>
      </c>
      <c r="C23" s="18" t="n"/>
      <c r="D23" s="18" t="n"/>
      <c r="E23" s="18" t="n"/>
      <c r="F23" s="18" t="n"/>
      <c r="G23" s="28" t="inlineStr">
        <is>
          <t>Y</t>
        </is>
      </c>
      <c r="H23" s="18" t="n"/>
      <c r="I23" s="17">
        <f>IFERROR(AVERAGEIFS($C$7:$H$7,C23:H23,"Y"),"")</f>
        <v/>
      </c>
      <c r="J23" s="29">
        <f>COUNTIF(C23:H23,"Y")</f>
        <v/>
      </c>
      <c r="K23" s="30">
        <f>SUMPRODUCT((C$7:$H$7=1)*(C23:H23="Y"))*50</f>
        <v/>
      </c>
    </row>
    <row r="24" ht="17" customHeight="1">
      <c r="A24" s="33" t="n">
        <v>5</v>
      </c>
      <c r="B24" s="34" t="inlineStr">
        <is>
          <t>Dakayla</t>
        </is>
      </c>
      <c r="C24" s="35" t="n"/>
      <c r="D24" s="35" t="n"/>
      <c r="E24" s="35" t="n"/>
      <c r="F24" s="35" t="n"/>
      <c r="G24" s="35" t="n"/>
      <c r="H24" s="28" t="inlineStr">
        <is>
          <t>Y</t>
        </is>
      </c>
      <c r="I24" s="17">
        <f>IFERROR(AVERAGEIFS($C$7:$H$7,C24:H24,"Y"),"")</f>
        <v/>
      </c>
      <c r="J24" s="29">
        <f>COUNTIF(C24:H24,"Y")</f>
        <v/>
      </c>
      <c r="K24" s="30">
        <f>SUMPRODUCT((C$7:$H$7=1)*(C24:H24="Y"))*50</f>
        <v/>
      </c>
    </row>
    <row r="25" ht="17" customHeight="1">
      <c r="A25" s="36" t="n">
        <v>6</v>
      </c>
      <c r="B25" s="37" t="inlineStr">
        <is>
          <t>Divan</t>
        </is>
      </c>
      <c r="C25" s="18" t="n"/>
      <c r="D25" s="18" t="n"/>
      <c r="E25" s="18" t="n"/>
      <c r="F25" s="18" t="n"/>
      <c r="G25" s="18" t="n"/>
      <c r="H25" s="18" t="n"/>
      <c r="I25" s="17">
        <f>IFERROR(AVERAGEIFS($C$7:$H$7,C25:H25,"Y"),"")</f>
        <v/>
      </c>
      <c r="J25" s="29">
        <f>COUNTIF(C25:H25,"Y")</f>
        <v/>
      </c>
      <c r="K25" s="30">
        <f>SUMPRODUCT((C$7:$H$7=1)*(C25:H25="Y"))*50</f>
        <v/>
      </c>
    </row>
    <row r="26" ht="17" customHeight="1">
      <c r="A26" s="33" t="n">
        <v>7</v>
      </c>
      <c r="B26" s="34" t="inlineStr">
        <is>
          <t>Francisco</t>
        </is>
      </c>
      <c r="C26" s="35" t="n"/>
      <c r="D26" s="28" t="inlineStr">
        <is>
          <t>Y</t>
        </is>
      </c>
      <c r="E26" s="35" t="n"/>
      <c r="F26" s="28" t="inlineStr">
        <is>
          <t>Y</t>
        </is>
      </c>
      <c r="G26" s="35" t="n"/>
      <c r="H26" s="35" t="n"/>
      <c r="I26" s="17">
        <f>IFERROR(AVERAGEIFS($C$7:$H$7,C26:H26,"Y"),"")</f>
        <v/>
      </c>
      <c r="J26" s="29">
        <f>COUNTIF(C26:H26,"Y")</f>
        <v/>
      </c>
      <c r="K26" s="30">
        <f>SUMPRODUCT((C$7:$H$7=1)*(C26:H26="Y"))*50</f>
        <v/>
      </c>
    </row>
    <row r="27" ht="17" customHeight="1">
      <c r="A27" s="36" t="n">
        <v>8</v>
      </c>
      <c r="B27" s="37" t="inlineStr">
        <is>
          <t>Grace</t>
        </is>
      </c>
      <c r="C27" s="18" t="n"/>
      <c r="D27" s="18" t="n"/>
      <c r="E27" s="18" t="n"/>
      <c r="F27" s="18" t="n"/>
      <c r="G27" s="18" t="n"/>
      <c r="H27" s="18" t="n"/>
      <c r="I27" s="17">
        <f>IFERROR(AVERAGEIFS($C$7:$H$7,C27:H27,"Y"),"")</f>
        <v/>
      </c>
      <c r="J27" s="29">
        <f>COUNTIF(C27:H27,"Y")</f>
        <v/>
      </c>
      <c r="K27" s="30">
        <f>SUMPRODUCT((C$7:$H$7=1)*(C27:H27="Y"))*50</f>
        <v/>
      </c>
    </row>
    <row r="28" ht="17" customHeight="1">
      <c r="A28" s="33" t="n">
        <v>9</v>
      </c>
      <c r="B28" s="34" t="inlineStr">
        <is>
          <t>Jada</t>
        </is>
      </c>
      <c r="C28" s="28" t="inlineStr">
        <is>
          <t>Y</t>
        </is>
      </c>
      <c r="D28" s="35" t="n"/>
      <c r="E28" s="35" t="n"/>
      <c r="F28" s="35" t="n"/>
      <c r="G28" s="35" t="n"/>
      <c r="H28" s="35" t="n"/>
      <c r="I28" s="17">
        <f>IFERROR(AVERAGEIFS($C$7:$H$7,C28:H28,"Y"),"")</f>
        <v/>
      </c>
      <c r="J28" s="29">
        <f>COUNTIF(C28:H28,"Y")</f>
        <v/>
      </c>
      <c r="K28" s="30">
        <f>SUMPRODUCT((C$7:$H$7=1)*(C28:H28="Y"))*50</f>
        <v/>
      </c>
    </row>
    <row r="29" ht="17" customHeight="1">
      <c r="A29" s="36" t="n">
        <v>10</v>
      </c>
      <c r="B29" s="37" t="inlineStr">
        <is>
          <t>Jeremiah</t>
        </is>
      </c>
      <c r="C29" s="28" t="inlineStr">
        <is>
          <t>Y</t>
        </is>
      </c>
      <c r="D29" s="28" t="inlineStr">
        <is>
          <t>Y</t>
        </is>
      </c>
      <c r="E29" s="28" t="inlineStr">
        <is>
          <t>Y</t>
        </is>
      </c>
      <c r="F29" s="18" t="n"/>
      <c r="G29" s="18" t="n"/>
      <c r="H29" s="18" t="n"/>
      <c r="I29" s="17">
        <f>IFERROR(AVERAGEIFS($C$7:$H$7,C29:H29,"Y"),"")</f>
        <v/>
      </c>
      <c r="J29" s="29">
        <f>COUNTIF(C29:H29,"Y")</f>
        <v/>
      </c>
      <c r="K29" s="30">
        <f>SUMPRODUCT((C$7:$H$7=1)*(C29:H29="Y"))*50</f>
        <v/>
      </c>
    </row>
    <row r="30" ht="17" customHeight="1">
      <c r="A30" s="33" t="n">
        <v>11</v>
      </c>
      <c r="B30" s="34" t="inlineStr">
        <is>
          <t>Kable</t>
        </is>
      </c>
      <c r="C30" s="35" t="n"/>
      <c r="D30" s="35" t="n"/>
      <c r="E30" s="35" t="n"/>
      <c r="F30" s="35" t="n"/>
      <c r="G30" s="35" t="n"/>
      <c r="H30" s="35" t="n"/>
      <c r="I30" s="17">
        <f>IFERROR(AVERAGEIFS($C$7:$H$7,C30:H30,"Y"),"")</f>
        <v/>
      </c>
      <c r="J30" s="29">
        <f>COUNTIF(C30:H30,"Y")</f>
        <v/>
      </c>
      <c r="K30" s="30">
        <f>SUMPRODUCT((C$7:$H$7=1)*(C30:H30="Y"))*50</f>
        <v/>
      </c>
    </row>
    <row r="31" ht="17" customHeight="1">
      <c r="A31" s="36" t="n">
        <v>12</v>
      </c>
      <c r="B31" s="37" t="inlineStr">
        <is>
          <t>Kayla</t>
        </is>
      </c>
      <c r="C31" s="18" t="n"/>
      <c r="D31" s="18" t="n"/>
      <c r="E31" s="18" t="n"/>
      <c r="F31" s="18" t="n"/>
      <c r="G31" s="18" t="n"/>
      <c r="H31" s="18" t="n"/>
      <c r="I31" s="17">
        <f>IFERROR(AVERAGEIFS($C$7:$H$7,C31:H31,"Y"),"")</f>
        <v/>
      </c>
      <c r="J31" s="29">
        <f>COUNTIF(C31:H31,"Y")</f>
        <v/>
      </c>
      <c r="K31" s="30">
        <f>SUMPRODUCT((C$7:$H$7=1)*(C31:H31="Y"))*50</f>
        <v/>
      </c>
    </row>
    <row r="32" ht="17" customHeight="1">
      <c r="A32" s="33" t="n">
        <v>13</v>
      </c>
      <c r="B32" s="34" t="inlineStr">
        <is>
          <t>Kenzie</t>
        </is>
      </c>
      <c r="C32" s="35" t="n"/>
      <c r="D32" s="35" t="n"/>
      <c r="E32" s="35" t="n"/>
      <c r="F32" s="35" t="n"/>
      <c r="G32" s="35" t="n"/>
      <c r="H32" s="35" t="n"/>
      <c r="I32" s="17">
        <f>IFERROR(AVERAGEIFS($C$7:$H$7,C32:H32,"Y"),"")</f>
        <v/>
      </c>
      <c r="J32" s="29">
        <f>COUNTIF(C32:H32,"Y")</f>
        <v/>
      </c>
      <c r="K32" s="30">
        <f>SUMPRODUCT((C$7:$H$7=1)*(C32:H32="Y"))*50</f>
        <v/>
      </c>
    </row>
    <row r="33" ht="17" customHeight="1">
      <c r="A33" s="36" t="n">
        <v>14</v>
      </c>
      <c r="B33" s="37" t="inlineStr">
        <is>
          <t>Lidy</t>
        </is>
      </c>
      <c r="C33" s="18" t="n"/>
      <c r="D33" s="28" t="inlineStr">
        <is>
          <t>Y</t>
        </is>
      </c>
      <c r="E33" s="18" t="n"/>
      <c r="F33" s="28" t="inlineStr">
        <is>
          <t>Y</t>
        </is>
      </c>
      <c r="G33" s="18" t="n"/>
      <c r="H33" s="28" t="inlineStr">
        <is>
          <t>Y</t>
        </is>
      </c>
      <c r="I33" s="17">
        <f>IFERROR(AVERAGEIFS($C$7:$H$7,C33:H33,"Y"),"")</f>
        <v/>
      </c>
      <c r="J33" s="29">
        <f>COUNTIF(C33:H33,"Y")</f>
        <v/>
      </c>
      <c r="K33" s="30">
        <f>SUMPRODUCT((C$7:$H$7=1)*(C33:H33="Y"))*50</f>
        <v/>
      </c>
    </row>
    <row r="34" ht="17" customHeight="1">
      <c r="A34" s="33" t="n">
        <v>15</v>
      </c>
      <c r="B34" s="34" t="inlineStr">
        <is>
          <t>Maylin</t>
        </is>
      </c>
      <c r="C34" s="28" t="inlineStr">
        <is>
          <t>Y</t>
        </is>
      </c>
      <c r="D34" s="35" t="n"/>
      <c r="E34" s="35" t="n"/>
      <c r="F34" s="35" t="n"/>
      <c r="G34" s="28" t="inlineStr">
        <is>
          <t>Y</t>
        </is>
      </c>
      <c r="H34" s="35" t="n"/>
      <c r="I34" s="17">
        <f>IFERROR(AVERAGEIFS($C$7:$H$7,C34:H34,"Y"),"")</f>
        <v/>
      </c>
      <c r="J34" s="29">
        <f>COUNTIF(C34:H34,"Y")</f>
        <v/>
      </c>
      <c r="K34" s="30">
        <f>SUMPRODUCT((C$7:$H$7=1)*(C34:H34="Y"))*50</f>
        <v/>
      </c>
    </row>
    <row r="35" ht="17" customHeight="1">
      <c r="A35" s="36" t="n">
        <v>16</v>
      </c>
      <c r="B35" s="37" t="inlineStr">
        <is>
          <t>Mike</t>
        </is>
      </c>
      <c r="C35" s="18" t="n"/>
      <c r="D35" s="18" t="n"/>
      <c r="E35" s="18" t="n"/>
      <c r="F35" s="18" t="n"/>
      <c r="G35" s="18" t="n"/>
      <c r="H35" s="18" t="n"/>
      <c r="I35" s="17">
        <f>IFERROR(AVERAGEIFS($C$7:$H$7,C35:H35,"Y"),"")</f>
        <v/>
      </c>
      <c r="J35" s="29">
        <f>COUNTIF(C35:H35,"Y")</f>
        <v/>
      </c>
      <c r="K35" s="30">
        <f>SUMPRODUCT((C$7:$H$7=1)*(C35:H35="Y"))*50</f>
        <v/>
      </c>
    </row>
    <row r="36" ht="17" customHeight="1">
      <c r="A36" s="33" t="n">
        <v>17</v>
      </c>
      <c r="B36" s="34" t="inlineStr">
        <is>
          <t>Richard</t>
        </is>
      </c>
      <c r="C36" s="28" t="inlineStr">
        <is>
          <t>Y</t>
        </is>
      </c>
      <c r="D36" s="35" t="n"/>
      <c r="E36" s="28" t="inlineStr">
        <is>
          <t>Y</t>
        </is>
      </c>
      <c r="F36" s="28" t="inlineStr">
        <is>
          <t>Y</t>
        </is>
      </c>
      <c r="G36" s="28" t="inlineStr">
        <is>
          <t>Y</t>
        </is>
      </c>
      <c r="H36" s="35" t="n"/>
      <c r="I36" s="17">
        <f>IFERROR(AVERAGEIFS($C$7:$H$7,C36:H36,"Y"),"")</f>
        <v/>
      </c>
      <c r="J36" s="29">
        <f>COUNTIF(C36:H36,"Y")</f>
        <v/>
      </c>
      <c r="K36" s="30">
        <f>SUMPRODUCT((C$7:$H$7=1)*(C36:H36="Y"))*50</f>
        <v/>
      </c>
    </row>
    <row r="37" ht="17" customHeight="1">
      <c r="A37" s="36" t="n">
        <v>18</v>
      </c>
      <c r="B37" s="37" t="inlineStr">
        <is>
          <t>Samuel</t>
        </is>
      </c>
      <c r="C37" s="28" t="inlineStr">
        <is>
          <t>Y</t>
        </is>
      </c>
      <c r="D37" s="18" t="n"/>
      <c r="E37" s="18" t="n"/>
      <c r="F37" s="18" t="n"/>
      <c r="G37" s="18" t="n"/>
      <c r="H37" s="18" t="n"/>
      <c r="I37" s="17">
        <f>IFERROR(AVERAGEIFS($C$7:$H$7,C37:H37,"Y"),"")</f>
        <v/>
      </c>
      <c r="J37" s="29">
        <f>COUNTIF(C37:H37,"Y")</f>
        <v/>
      </c>
      <c r="K37" s="30">
        <f>SUMPRODUCT((C$7:$H$7=1)*(C37:H37="Y"))*50</f>
        <v/>
      </c>
    </row>
    <row r="38" ht="17" customHeight="1">
      <c r="A38" s="33" t="n">
        <v>19</v>
      </c>
      <c r="B38" s="34" t="inlineStr">
        <is>
          <t>Zach</t>
        </is>
      </c>
      <c r="C38" s="35" t="n"/>
      <c r="D38" s="35" t="n"/>
      <c r="E38" s="35" t="n"/>
      <c r="F38" s="35" t="n"/>
      <c r="G38" s="35" t="n"/>
      <c r="H38" s="35" t="n"/>
      <c r="I38" s="17">
        <f>IFERROR(AVERAGEIFS($C$7:$H$7,C38:H38,"Y"),"")</f>
        <v/>
      </c>
      <c r="J38" s="29">
        <f>COUNTIF(C38:H38,"Y")</f>
        <v/>
      </c>
      <c r="K38" s="30">
        <f>SUMPRODUCT((C$7:$H$7=1)*(C38:H38="Y"))*50</f>
        <v/>
      </c>
    </row>
    <row r="39" ht="18" customHeight="1">
      <c r="A39" s="3" t="inlineStr"/>
      <c r="B39" s="38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3" t="inlineStr"/>
      <c r="J39" s="6">
        <f>SUM(J14:J38)</f>
        <v/>
      </c>
      <c r="K39" s="39">
        <f>SUM(K14:K38)</f>
        <v/>
      </c>
    </row>
    <row r="40" ht="12" customHeight="1">
      <c r="A40" s="40" t="inlineStr">
        <is>
          <t>Y = on shift during shop's meal window. Personal Avg = average score of shops worked. Bonus = $50 per 100% shop worked.</t>
        </is>
      </c>
    </row>
  </sheetData>
  <mergeCells count="7">
    <mergeCell ref="A12:K12"/>
    <mergeCell ref="A18:K18"/>
    <mergeCell ref="A2:K2"/>
    <mergeCell ref="A19:K19"/>
    <mergeCell ref="A13:K13"/>
    <mergeCell ref="A1:K1"/>
    <mergeCell ref="A40:K40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2026-05-01T01:00:20Z</dcterms:created>
  <dcterms:modified xmlns:dcterms="http://purl.org/dc/terms/" xmlns:xsi="http://www.w3.org/2001/XMLSchema-instance" xsi:type="dcterms:W3CDTF">2026-05-01T01:00:20Z</dcterms:modified>
</cp:coreProperties>
</file>