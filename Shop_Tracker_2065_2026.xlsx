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  <sheet name="Q1 Summary" sheetId="11" state="visible" r:id="rId11"/>
    <sheet name="Q2 Summary" sheetId="12" state="visible" r:id="rId12"/>
    <sheet name="Q3 Summary" sheetId="13" state="visible" r:id="rId13"/>
    <sheet name="Q4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4A7A0F"/>
      <sz val="10"/>
    </font>
    <font>
      <name val="Arial"/>
      <color rgb="00595959"/>
      <sz val="8"/>
    </font>
    <font>
      <name val="Arial"/>
      <i val="1"/>
      <color rgb="00595959"/>
      <sz val="7"/>
    </font>
    <font>
      <name val="Arial"/>
      <b val="1"/>
      <color rgb="001A2A4A"/>
      <sz val="10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2" fillId="4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164" fontId="18" fillId="5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19" fillId="8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left" vertical="center"/>
    </xf>
    <xf numFmtId="165" fontId="4" fillId="12" borderId="1" applyAlignment="1" pivotButton="0" quotePrefix="0" xfId="0">
      <alignment horizontal="center" vertical="center"/>
    </xf>
    <xf numFmtId="164" fontId="17" fillId="9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Alissa Baungardner</t>
        </is>
      </c>
      <c r="C12" s="21" t="n"/>
      <c r="D12" s="22" t="n">
        <v>0</v>
      </c>
      <c r="E12" s="21" t="n"/>
      <c r="F12" s="21" t="n"/>
      <c r="G12" s="21" t="n"/>
      <c r="H12" s="21" t="n"/>
      <c r="I12" s="21" t="n"/>
      <c r="J12" s="21" t="n"/>
      <c r="K12" s="23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2" t="n">
        <v>0</v>
      </c>
      <c r="E13" s="21" t="n"/>
      <c r="F13" s="22" t="n">
        <v>72</v>
      </c>
      <c r="G13" s="21" t="n"/>
      <c r="H13" s="24" t="n">
        <v>100</v>
      </c>
      <c r="I13" s="25" t="n">
        <v>80</v>
      </c>
      <c r="J13" s="25" t="n">
        <v>85</v>
      </c>
      <c r="K13" s="23">
        <f>IFERROR(AVERAGE(C13:J13),"")</f>
        <v/>
      </c>
      <c r="L13" s="26" t="n">
        <v>32.86</v>
      </c>
    </row>
    <row r="14" ht="17" customHeight="1">
      <c r="A14" s="19" t="inlineStr">
        <is>
          <t>Manager</t>
        </is>
      </c>
      <c r="B14" s="20" t="inlineStr">
        <is>
          <t>Michael Ruth</t>
        </is>
      </c>
      <c r="C14" s="27" t="n">
        <v>92</v>
      </c>
      <c r="D14" s="21" t="n"/>
      <c r="E14" s="25" t="n">
        <v>80</v>
      </c>
      <c r="F14" s="22" t="n">
        <v>72</v>
      </c>
      <c r="G14" s="21" t="n"/>
      <c r="H14" s="21" t="n"/>
      <c r="I14" s="25" t="n">
        <v>80</v>
      </c>
      <c r="J14" s="25" t="n">
        <v>85</v>
      </c>
      <c r="K14" s="23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7" t="n">
        <v>92</v>
      </c>
      <c r="D15" s="22" t="n">
        <v>0</v>
      </c>
      <c r="E15" s="25" t="n">
        <v>80</v>
      </c>
      <c r="F15" s="22" t="n">
        <v>72</v>
      </c>
      <c r="G15" s="24" t="n">
        <v>100</v>
      </c>
      <c r="H15" s="21" t="n"/>
      <c r="I15" s="21" t="n"/>
      <c r="J15" s="25" t="n">
        <v>85</v>
      </c>
      <c r="K15" s="23">
        <f>IFERROR(AVERAGE(C15:J15),"")</f>
        <v/>
      </c>
      <c r="L15" s="26" t="n">
        <v>46</v>
      </c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1" t="n"/>
      <c r="E16" s="21" t="n"/>
      <c r="F16" s="21" t="n"/>
      <c r="G16" s="24" t="n">
        <v>100</v>
      </c>
      <c r="H16" s="21" t="n"/>
      <c r="I16" s="21" t="n"/>
      <c r="J16" s="21" t="n"/>
      <c r="K16" s="23">
        <f>IFERROR(AVERAGE(C16:J16),"")</f>
        <v/>
      </c>
      <c r="L16" s="26" t="n">
        <v>46</v>
      </c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30" t="n"/>
      <c r="D17" s="30" t="n"/>
      <c r="E17" s="30" t="n"/>
      <c r="F17" s="30" t="n"/>
      <c r="G17" s="30" t="n"/>
      <c r="H17" s="24" t="n">
        <v>100</v>
      </c>
      <c r="I17" s="25" t="n">
        <v>80</v>
      </c>
      <c r="J17" s="30" t="n"/>
      <c r="K17" s="23">
        <f>IFERROR(AVERAGE(C17:J17),"")</f>
        <v/>
      </c>
      <c r="L17" s="26" t="n">
        <v>32.86</v>
      </c>
    </row>
    <row r="18" ht="17" customHeight="1">
      <c r="A18" s="28" t="inlineStr">
        <is>
          <t>CREW</t>
        </is>
      </c>
      <c r="B18" s="29" t="inlineStr">
        <is>
          <t>Akur Alier</t>
        </is>
      </c>
      <c r="C18" s="30" t="n"/>
      <c r="D18" s="30" t="n"/>
      <c r="E18" s="30" t="n"/>
      <c r="F18" s="30" t="n"/>
      <c r="G18" s="30" t="n"/>
      <c r="H18" s="30" t="n"/>
      <c r="I18" s="30" t="n"/>
      <c r="J18" s="25" t="n">
        <v>85</v>
      </c>
      <c r="K18" s="23">
        <f>IFERROR(AVERAGE(C18:J18),"")</f>
        <v/>
      </c>
      <c r="L18" s="30" t="n"/>
    </row>
    <row r="19" ht="17" customHeight="1">
      <c r="A19" s="28" t="inlineStr">
        <is>
          <t>CREW</t>
        </is>
      </c>
      <c r="B19" s="29" t="inlineStr">
        <is>
          <t>Ashton Seadler-Wathen</t>
        </is>
      </c>
      <c r="C19" s="27" t="n">
        <v>92</v>
      </c>
      <c r="D19" s="30" t="n"/>
      <c r="E19" s="25" t="n">
        <v>80</v>
      </c>
      <c r="F19" s="22" t="n">
        <v>72</v>
      </c>
      <c r="G19" s="30" t="n"/>
      <c r="H19" s="24" t="n">
        <v>100</v>
      </c>
      <c r="I19" s="30" t="n"/>
      <c r="J19" s="30" t="n"/>
      <c r="K19" s="23">
        <f>IFERROR(AVERAGE(C19:J19),"")</f>
        <v/>
      </c>
      <c r="L19" s="26" t="n">
        <v>32.86</v>
      </c>
    </row>
    <row r="20" ht="17" customHeight="1">
      <c r="A20" s="28" t="inlineStr">
        <is>
          <t>CREW</t>
        </is>
      </c>
      <c r="B20" s="29" t="inlineStr">
        <is>
          <t>Autumn Hearn</t>
        </is>
      </c>
      <c r="C20" s="30" t="n"/>
      <c r="D20" s="30" t="n"/>
      <c r="E20" s="30" t="n"/>
      <c r="F20" s="30" t="n"/>
      <c r="G20" s="30" t="n"/>
      <c r="H20" s="24" t="n">
        <v>100</v>
      </c>
      <c r="I20" s="25" t="n">
        <v>80</v>
      </c>
      <c r="J20" s="30" t="n"/>
      <c r="K20" s="23">
        <f>IFERROR(AVERAGE(C20:J20),"")</f>
        <v/>
      </c>
      <c r="L20" s="26" t="n">
        <v>32.86</v>
      </c>
    </row>
    <row r="21" ht="17" customHeight="1">
      <c r="A21" s="28" t="inlineStr">
        <is>
          <t>CREW</t>
        </is>
      </c>
      <c r="B21" s="29" t="inlineStr">
        <is>
          <t>Brianna Gatewood</t>
        </is>
      </c>
      <c r="C21" s="30" t="n"/>
      <c r="D21" s="30" t="n"/>
      <c r="E21" s="30" t="n"/>
      <c r="F21" s="30" t="n"/>
      <c r="G21" s="30" t="n"/>
      <c r="H21" s="24" t="n">
        <v>100</v>
      </c>
      <c r="I21" s="30" t="n"/>
      <c r="J21" s="30" t="n"/>
      <c r="K21" s="23">
        <f>IFERROR(AVERAGE(C21:J21),"")</f>
        <v/>
      </c>
      <c r="L21" s="26" t="n">
        <v>32.86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30" t="n"/>
      <c r="D22" s="30" t="n"/>
      <c r="E22" s="30" t="n"/>
      <c r="F22" s="22" t="n">
        <v>72</v>
      </c>
      <c r="G22" s="30" t="n"/>
      <c r="H22" s="30" t="n"/>
      <c r="I22" s="25" t="n">
        <v>80</v>
      </c>
      <c r="J22" s="30" t="n"/>
      <c r="K22" s="23">
        <f>IFERROR(AVERAGE(C22:J22),"")</f>
        <v/>
      </c>
      <c r="L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7" t="n">
        <v>92</v>
      </c>
      <c r="D23" s="22" t="n">
        <v>0</v>
      </c>
      <c r="E23" s="30" t="n"/>
      <c r="F23" s="22" t="n">
        <v>72</v>
      </c>
      <c r="G23" s="24" t="n">
        <v>100</v>
      </c>
      <c r="H23" s="30" t="n"/>
      <c r="I23" s="25" t="n">
        <v>80</v>
      </c>
      <c r="J23" s="25" t="n">
        <v>85</v>
      </c>
      <c r="K23" s="23">
        <f>IFERROR(AVERAGE(C23:J23),"")</f>
        <v/>
      </c>
      <c r="L23" s="26" t="n">
        <v>46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22" t="n">
        <v>0</v>
      </c>
      <c r="E24" s="30" t="n"/>
      <c r="F24" s="30" t="n"/>
      <c r="G24" s="30" t="n"/>
      <c r="H24" s="30" t="n"/>
      <c r="I24" s="30" t="n"/>
      <c r="J24" s="30" t="n"/>
      <c r="K24" s="23">
        <f>IFERROR(AVERAGE(C24:J24),"")</f>
        <v/>
      </c>
      <c r="L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5" t="n">
        <v>80</v>
      </c>
      <c r="F25" s="22" t="n">
        <v>72</v>
      </c>
      <c r="G25" s="30" t="n"/>
      <c r="H25" s="30" t="n"/>
      <c r="I25" s="30" t="n"/>
      <c r="J25" s="25" t="n">
        <v>85</v>
      </c>
      <c r="K25" s="23">
        <f>IFERROR(AVERAGE(C25:J25),"")</f>
        <v/>
      </c>
      <c r="L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7" t="n">
        <v>92</v>
      </c>
      <c r="D26" s="30" t="n"/>
      <c r="E26" s="25" t="n">
        <v>80</v>
      </c>
      <c r="F26" s="30" t="n"/>
      <c r="G26" s="24" t="n">
        <v>100</v>
      </c>
      <c r="H26" s="30" t="n"/>
      <c r="I26" s="30" t="n"/>
      <c r="J26" s="30" t="n"/>
      <c r="K26" s="23">
        <f>IFERROR(AVERAGE(C26:J26),"")</f>
        <v/>
      </c>
      <c r="L26" s="26" t="n">
        <v>46</v>
      </c>
    </row>
    <row r="27" ht="17" customHeight="1">
      <c r="A27" s="28" t="inlineStr">
        <is>
          <t>CREW</t>
        </is>
      </c>
      <c r="B27" s="29" t="inlineStr">
        <is>
          <t>Kasey Wilson</t>
        </is>
      </c>
      <c r="C27" s="30" t="n"/>
      <c r="D27" s="22" t="n">
        <v>0</v>
      </c>
      <c r="E27" s="30" t="n"/>
      <c r="F27" s="30" t="n"/>
      <c r="G27" s="30" t="n"/>
      <c r="H27" s="30" t="n"/>
      <c r="I27" s="30" t="n"/>
      <c r="J27" s="25" t="n">
        <v>85</v>
      </c>
      <c r="K27" s="23">
        <f>IFERROR(AVERAGE(C27:J27),"")</f>
        <v/>
      </c>
      <c r="L27" s="30" t="n"/>
    </row>
    <row r="28" ht="17" customHeight="1">
      <c r="A28" s="28" t="inlineStr">
        <is>
          <t>CREW</t>
        </is>
      </c>
      <c r="B28" s="29" t="inlineStr">
        <is>
          <t>Lidy Henry</t>
        </is>
      </c>
      <c r="C28" s="30" t="n"/>
      <c r="D28" s="22" t="n">
        <v>0</v>
      </c>
      <c r="E28" s="25" t="n">
        <v>80</v>
      </c>
      <c r="F28" s="22" t="n">
        <v>72</v>
      </c>
      <c r="G28" s="24" t="n">
        <v>100</v>
      </c>
      <c r="H28" s="24" t="n">
        <v>100</v>
      </c>
      <c r="I28" s="30" t="n"/>
      <c r="J28" s="25" t="n">
        <v>85</v>
      </c>
      <c r="K28" s="23">
        <f>IFERROR(AVERAGE(C28:J28),"")</f>
        <v/>
      </c>
      <c r="L28" s="26" t="n">
        <v>78.86</v>
      </c>
    </row>
    <row r="29" ht="17" customHeight="1">
      <c r="A29" s="28" t="inlineStr">
        <is>
          <t>CREW</t>
        </is>
      </c>
      <c r="B29" s="29" t="inlineStr">
        <is>
          <t>Maylin Hernandez Rodriguez</t>
        </is>
      </c>
      <c r="C29" s="30" t="n"/>
      <c r="D29" s="22" t="n">
        <v>0</v>
      </c>
      <c r="E29" s="30" t="n"/>
      <c r="F29" s="22" t="n">
        <v>72</v>
      </c>
      <c r="G29" s="30" t="n"/>
      <c r="H29" s="30" t="n"/>
      <c r="I29" s="25" t="n">
        <v>80</v>
      </c>
      <c r="J29" s="30" t="n"/>
      <c r="K29" s="23">
        <f>IFERROR(AVERAGE(C29:J29),"")</f>
        <v/>
      </c>
      <c r="L29" s="30" t="n"/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2" t="n">
        <v>0</v>
      </c>
      <c r="E30" s="30" t="n"/>
      <c r="F30" s="22" t="n">
        <v>72</v>
      </c>
      <c r="G30" s="30" t="n"/>
      <c r="H30" s="24" t="n">
        <v>100</v>
      </c>
      <c r="I30" s="25" t="n">
        <v>80</v>
      </c>
      <c r="J30" s="30" t="n"/>
      <c r="K30" s="23">
        <f>IFERROR(AVERAGE(C30:J30),"")</f>
        <v/>
      </c>
      <c r="L30" s="26" t="n">
        <v>32.86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1:L31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1" t="n"/>
      <c r="F12" s="24" t="n">
        <v>100</v>
      </c>
      <c r="G12" s="21" t="n"/>
      <c r="H12" s="27" t="n">
        <v>95</v>
      </c>
      <c r="I12" s="23">
        <f>IFERROR(AVERAGE(C12:H12),"")</f>
        <v/>
      </c>
      <c r="J12" s="26" t="n">
        <v>77.31</v>
      </c>
    </row>
    <row r="13" ht="17" customHeight="1">
      <c r="A13" s="19" t="inlineStr">
        <is>
          <t>Manager</t>
        </is>
      </c>
      <c r="B13" s="20" t="inlineStr">
        <is>
          <t>Michael Ruth</t>
        </is>
      </c>
      <c r="C13" s="24" t="n">
        <v>100</v>
      </c>
      <c r="D13" s="21" t="n"/>
      <c r="E13" s="22" t="n">
        <v>69</v>
      </c>
      <c r="F13" s="21" t="n"/>
      <c r="G13" s="24" t="n">
        <v>100</v>
      </c>
      <c r="H13" s="27" t="n">
        <v>95</v>
      </c>
      <c r="I13" s="23">
        <f>IFERROR(AVERAGE(C13:H13),"")</f>
        <v/>
      </c>
      <c r="J13" s="26" t="n">
        <v>67.08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2" t="n">
        <v>69</v>
      </c>
      <c r="F14" s="21" t="n"/>
      <c r="G14" s="24" t="n">
        <v>100</v>
      </c>
      <c r="H14" s="21" t="n"/>
      <c r="I14" s="23">
        <f>IFERROR(AVERAGE(C14:H14),"")</f>
        <v/>
      </c>
      <c r="J14" s="26" t="n">
        <v>90.08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4" t="n">
        <v>100</v>
      </c>
      <c r="E15" s="22" t="n">
        <v>69</v>
      </c>
      <c r="F15" s="21" t="n"/>
      <c r="G15" s="24" t="n">
        <v>100</v>
      </c>
      <c r="H15" s="21" t="n"/>
      <c r="I15" s="23">
        <f>IFERROR(AVERAGE(C15:H15),"")</f>
        <v/>
      </c>
      <c r="J15" s="26" t="n">
        <v>61.33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Akur Alier</t>
        </is>
      </c>
      <c r="C17" s="24" t="n">
        <v>100</v>
      </c>
      <c r="D17" s="30" t="n"/>
      <c r="E17" s="30" t="n"/>
      <c r="F17" s="30" t="n"/>
      <c r="G17" s="30" t="n"/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95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24" t="n">
        <v>100</v>
      </c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48.56</v>
      </c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4" t="n">
        <v>100</v>
      </c>
      <c r="D20" s="24" t="n">
        <v>100</v>
      </c>
      <c r="E20" s="22" t="n">
        <v>69</v>
      </c>
      <c r="F20" s="30" t="n"/>
      <c r="G20" s="24" t="n">
        <v>100</v>
      </c>
      <c r="H20" s="30" t="n"/>
      <c r="I20" s="23">
        <f>IFERROR(AVERAGE(C20:H20),"")</f>
        <v/>
      </c>
      <c r="J20" s="26" t="n">
        <v>90.08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24" t="n">
        <v>100</v>
      </c>
      <c r="D21" s="30" t="n"/>
      <c r="E21" s="30" t="n"/>
      <c r="F21" s="24" t="n">
        <v>100</v>
      </c>
      <c r="G21" s="30" t="n"/>
      <c r="H21" s="27" t="n">
        <v>95</v>
      </c>
      <c r="I21" s="23">
        <f>IFERROR(AVERAGE(C21:H21),"")</f>
        <v/>
      </c>
      <c r="J21" s="26" t="n">
        <v>54.31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24" t="n">
        <v>100</v>
      </c>
      <c r="D22" s="30" t="n"/>
      <c r="E22" s="22" t="n">
        <v>69</v>
      </c>
      <c r="F22" s="24" t="n">
        <v>100</v>
      </c>
      <c r="G22" s="30" t="n"/>
      <c r="H22" s="27" t="n">
        <v>95</v>
      </c>
      <c r="I22" s="23">
        <f>IFERROR(AVERAGE(C22:H22),"")</f>
        <v/>
      </c>
      <c r="J22" s="26" t="n">
        <v>54.31</v>
      </c>
    </row>
    <row r="23" ht="17" customHeight="1">
      <c r="A23" s="28" t="inlineStr">
        <is>
          <t>CREW</t>
        </is>
      </c>
      <c r="B23" s="29" t="inlineStr">
        <is>
          <t>Kable Hunt Jr</t>
        </is>
      </c>
      <c r="C23" s="30" t="n"/>
      <c r="D23" s="30" t="n"/>
      <c r="E23" s="30" t="n"/>
      <c r="F23" s="24" t="n">
        <v>100</v>
      </c>
      <c r="G23" s="30" t="n"/>
      <c r="H23" s="27" t="n">
        <v>95</v>
      </c>
      <c r="I23" s="23">
        <f>IFERROR(AVERAGE(C23:H23),"")</f>
        <v/>
      </c>
      <c r="J23" s="26" t="n">
        <v>25.56</v>
      </c>
    </row>
    <row r="24" ht="17" customHeight="1">
      <c r="A24" s="28" t="inlineStr">
        <is>
          <t>CREW</t>
        </is>
      </c>
      <c r="B24" s="29" t="inlineStr">
        <is>
          <t>Kaisha Brewer</t>
        </is>
      </c>
      <c r="C24" s="30" t="n"/>
      <c r="D24" s="30" t="n"/>
      <c r="E24" s="30" t="n"/>
      <c r="F24" s="30" t="n"/>
      <c r="G24" s="24" t="n">
        <v>100</v>
      </c>
      <c r="H24" s="27" t="n">
        <v>95</v>
      </c>
      <c r="I24" s="23">
        <f>IFERROR(AVERAGE(C24:H24),"")</f>
        <v/>
      </c>
      <c r="J24" s="26" t="n">
        <v>38.33</v>
      </c>
    </row>
    <row r="25" ht="17" customHeight="1">
      <c r="A25" s="28" t="inlineStr">
        <is>
          <t>CREW</t>
        </is>
      </c>
      <c r="B25" s="29" t="inlineStr">
        <is>
          <t>Kasey Wilson</t>
        </is>
      </c>
      <c r="C25" s="30" t="n"/>
      <c r="D25" s="30" t="n"/>
      <c r="E25" s="30" t="n"/>
      <c r="F25" s="24" t="n">
        <v>100</v>
      </c>
      <c r="G25" s="30" t="n"/>
      <c r="H25" s="27" t="n">
        <v>95</v>
      </c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Kelly Hamilton</t>
        </is>
      </c>
      <c r="C26" s="30" t="n"/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24" t="n">
        <v>100</v>
      </c>
      <c r="E27" s="22" t="n">
        <v>69</v>
      </c>
      <c r="F27" s="30" t="n"/>
      <c r="G27" s="24" t="n">
        <v>100</v>
      </c>
      <c r="H27" s="27" t="n">
        <v>95</v>
      </c>
      <c r="I27" s="23">
        <f>IFERROR(AVERAGE(C27:H27),"")</f>
        <v/>
      </c>
      <c r="J27" s="26" t="n">
        <v>90.08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24" t="n">
        <v>100</v>
      </c>
      <c r="G28" s="30" t="n"/>
      <c r="H28" s="30" t="n"/>
      <c r="I28" s="23">
        <f>IFERROR(AVERAGE(C28:H28),"")</f>
        <v/>
      </c>
      <c r="J28" s="26" t="n">
        <v>48.56</v>
      </c>
    </row>
    <row r="29" ht="17" customHeight="1">
      <c r="A29" s="28" t="inlineStr">
        <is>
          <t>CREW</t>
        </is>
      </c>
      <c r="B29" s="29" t="inlineStr">
        <is>
          <t>Robert Muncy Jr</t>
        </is>
      </c>
      <c r="C29" s="30" t="n"/>
      <c r="D29" s="30" t="n"/>
      <c r="E29" s="30" t="n"/>
      <c r="F29" s="24" t="n">
        <v>100</v>
      </c>
      <c r="G29" s="30" t="n"/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4" t="n">
        <v>100</v>
      </c>
      <c r="E30" s="30" t="n"/>
      <c r="F30" s="24" t="n">
        <v>100</v>
      </c>
      <c r="G30" s="30" t="n"/>
      <c r="H30" s="30" t="n"/>
      <c r="I30" s="23">
        <f>IFERROR(AVERAGE(C30:H30),"")</f>
        <v/>
      </c>
      <c r="J30" s="26" t="n">
        <v>48.56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2" t="n">
        <v>72</v>
      </c>
      <c r="D12" s="21" t="n"/>
      <c r="E12" s="22" t="n">
        <v>72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2" t="n">
        <v>72</v>
      </c>
      <c r="D13" s="21" t="n"/>
      <c r="E13" s="21" t="n"/>
      <c r="F13" s="22" t="n">
        <v>49</v>
      </c>
      <c r="G13" s="24" t="n">
        <v>100</v>
      </c>
      <c r="H13" s="23">
        <f>IFERROR(AVERAGE(C13:G13),"")</f>
        <v/>
      </c>
      <c r="I13" s="26" t="n">
        <v>28.75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2" t="n">
        <v>72</v>
      </c>
      <c r="D14" s="25" t="n">
        <v>80</v>
      </c>
      <c r="E14" s="21" t="n"/>
      <c r="F14" s="21" t="n"/>
      <c r="G14" s="24" t="n">
        <v>100</v>
      </c>
      <c r="H14" s="23">
        <f>IFERROR(AVERAGE(C14:G14),"")</f>
        <v/>
      </c>
      <c r="I14" s="26" t="n">
        <v>28.75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1" t="n"/>
      <c r="E15" s="22" t="n">
        <v>72</v>
      </c>
      <c r="F15" s="21" t="n"/>
      <c r="G15" s="24" t="n">
        <v>100</v>
      </c>
      <c r="H15" s="23">
        <f>IFERROR(AVERAGE(C15:G15),"")</f>
        <v/>
      </c>
      <c r="I15" s="26" t="n">
        <v>28.75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22" t="n">
        <v>72</v>
      </c>
      <c r="D16" s="30" t="n"/>
      <c r="E16" s="30" t="n"/>
      <c r="F16" s="22" t="n">
        <v>49</v>
      </c>
      <c r="G16" s="30" t="n"/>
      <c r="H16" s="23">
        <f>IFERROR(AVERAGE(C16:G16),"")</f>
        <v/>
      </c>
      <c r="I16" s="30" t="n"/>
    </row>
    <row r="17" ht="17" customHeight="1">
      <c r="A17" s="28" t="inlineStr">
        <is>
          <t>CREW</t>
        </is>
      </c>
      <c r="B17" s="29" t="inlineStr">
        <is>
          <t>Autumn Hearn</t>
        </is>
      </c>
      <c r="C17" s="22" t="n">
        <v>72</v>
      </c>
      <c r="D17" s="30" t="n"/>
      <c r="E17" s="30" t="n"/>
      <c r="F17" s="22" t="n">
        <v>49</v>
      </c>
      <c r="G17" s="30" t="n"/>
      <c r="H17" s="23">
        <f>IFERROR(AVERAGE(C17:G17),"")</f>
        <v/>
      </c>
      <c r="I17" s="30" t="n"/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30" t="n"/>
      <c r="E18" s="22" t="n">
        <v>72</v>
      </c>
      <c r="F18" s="30" t="n"/>
      <c r="G18" s="30" t="n"/>
      <c r="H18" s="23">
        <f>IFERROR(AVERAGE(C18:G18),"")</f>
        <v/>
      </c>
      <c r="I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22" t="n">
        <v>72</v>
      </c>
      <c r="D19" s="30" t="n"/>
      <c r="E19" s="22" t="n">
        <v>72</v>
      </c>
      <c r="F19" s="30" t="n"/>
      <c r="G19" s="30" t="n"/>
      <c r="H19" s="23">
        <f>IFERROR(AVERAGE(C19:G19),"")</f>
        <v/>
      </c>
      <c r="I19" s="30" t="n"/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2" t="n">
        <v>72</v>
      </c>
      <c r="D20" s="25" t="n">
        <v>80</v>
      </c>
      <c r="E20" s="22" t="n">
        <v>72</v>
      </c>
      <c r="F20" s="30" t="n"/>
      <c r="G20" s="24" t="n">
        <v>100</v>
      </c>
      <c r="H20" s="23">
        <f>IFERROR(AVERAGE(C20:G20),"")</f>
        <v/>
      </c>
      <c r="I20" s="26" t="n">
        <v>28.75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30" t="n"/>
      <c r="D21" s="30" t="n"/>
      <c r="E21" s="22" t="n">
        <v>72</v>
      </c>
      <c r="F21" s="22" t="n">
        <v>49</v>
      </c>
      <c r="G21" s="30" t="n"/>
      <c r="H21" s="23">
        <f>IFERROR(AVERAGE(C21:G21),"")</f>
        <v/>
      </c>
      <c r="I21" s="30" t="n"/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2" t="n">
        <v>72</v>
      </c>
      <c r="F22" s="30" t="n"/>
      <c r="G22" s="30" t="n"/>
      <c r="H22" s="23">
        <f>IFERROR(AVERAGE(C22:G22),"")</f>
        <v/>
      </c>
      <c r="I22" s="30" t="n"/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5" t="n">
        <v>80</v>
      </c>
      <c r="E23" s="30" t="n"/>
      <c r="F23" s="30" t="n"/>
      <c r="G23" s="24" t="n">
        <v>100</v>
      </c>
      <c r="H23" s="23">
        <f>IFERROR(AVERAGE(C23:G23),"")</f>
        <v/>
      </c>
      <c r="I23" s="26" t="n">
        <v>28.75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30" t="n"/>
      <c r="D24" s="25" t="n">
        <v>80</v>
      </c>
      <c r="E24" s="30" t="n"/>
      <c r="F24" s="30" t="n"/>
      <c r="G24" s="24" t="n">
        <v>100</v>
      </c>
      <c r="H24" s="23">
        <f>IFERROR(AVERAGE(C24:G24),"")</f>
        <v/>
      </c>
      <c r="I24" s="26" t="n">
        <v>28.75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22" t="n">
        <v>72</v>
      </c>
      <c r="D25" s="30" t="n"/>
      <c r="E25" s="22" t="n">
        <v>72</v>
      </c>
      <c r="F25" s="22" t="n">
        <v>49</v>
      </c>
      <c r="G25" s="24" t="n">
        <v>100</v>
      </c>
      <c r="H25" s="23">
        <f>IFERROR(AVERAGE(C25:G25),"")</f>
        <v/>
      </c>
      <c r="I25" s="26" t="n">
        <v>28.75</v>
      </c>
    </row>
    <row r="26" ht="17" customHeight="1">
      <c r="A26" s="28" t="inlineStr">
        <is>
          <t>CREW</t>
        </is>
      </c>
      <c r="B26" s="29" t="inlineStr">
        <is>
          <t>Mykenize Milledge</t>
        </is>
      </c>
      <c r="C26" s="30" t="n"/>
      <c r="D26" s="30" t="n"/>
      <c r="E26" s="22" t="n">
        <v>72</v>
      </c>
      <c r="F26" s="30" t="n"/>
      <c r="G26" s="30" t="n"/>
      <c r="H26" s="23">
        <f>IFERROR(AVERAGE(C26:G26),"")</f>
        <v/>
      </c>
      <c r="I26" s="30" t="n"/>
    </row>
    <row r="27" ht="17" customHeight="1">
      <c r="A27" s="28" t="inlineStr">
        <is>
          <t>CREW</t>
        </is>
      </c>
      <c r="B27" s="29" t="inlineStr">
        <is>
          <t>Nathan Roberts</t>
        </is>
      </c>
      <c r="C27" s="30" t="n"/>
      <c r="D27" s="30" t="n"/>
      <c r="E27" s="30" t="n"/>
      <c r="F27" s="30" t="n"/>
      <c r="G27" s="24" t="n">
        <v>100</v>
      </c>
      <c r="H27" s="23">
        <f>IFERROR(AVERAGE(C27:G27),"")</f>
        <v/>
      </c>
      <c r="I27" s="26" t="n">
        <v>28.75</v>
      </c>
    </row>
    <row r="28" ht="17" customHeight="1">
      <c r="A28" s="28" t="inlineStr">
        <is>
          <t>CREW</t>
        </is>
      </c>
      <c r="B28" s="29" t="inlineStr">
        <is>
          <t>Robert Muncy Jr</t>
        </is>
      </c>
      <c r="C28" s="30" t="n"/>
      <c r="D28" s="30" t="n"/>
      <c r="E28" s="30" t="n"/>
      <c r="F28" s="22" t="n">
        <v>49</v>
      </c>
      <c r="G28" s="30" t="n"/>
      <c r="H28" s="23">
        <f>IFERROR(AVERAGE(C28:G28),"")</f>
        <v/>
      </c>
      <c r="I28" s="30" t="n"/>
    </row>
    <row r="29" ht="17" customHeight="1">
      <c r="A29" s="28" t="inlineStr">
        <is>
          <t>CREW</t>
        </is>
      </c>
      <c r="B29" s="29" t="inlineStr">
        <is>
          <t>Samuel Galban Rocha</t>
        </is>
      </c>
      <c r="C29" s="22" t="n">
        <v>72</v>
      </c>
      <c r="D29" s="30" t="n"/>
      <c r="E29" s="30" t="n"/>
      <c r="F29" s="30" t="n"/>
      <c r="G29" s="30" t="n"/>
      <c r="H29" s="23">
        <f>IFERROR(AVERAGE(C29:G29),"")</f>
        <v/>
      </c>
      <c r="I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I1"/>
    <mergeCell ref="A11:B11"/>
    <mergeCell ref="A30:I30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7" t="n">
        <v>97</v>
      </c>
      <c r="D12" s="25" t="n">
        <v>87</v>
      </c>
      <c r="E12" s="27" t="n">
        <v>95</v>
      </c>
      <c r="F12" s="21" t="n"/>
      <c r="G12" s="24" t="n">
        <v>100</v>
      </c>
      <c r="H12" s="25" t="n">
        <v>87</v>
      </c>
      <c r="I12" s="23">
        <f>IFERROR(AVERAGE(C12:H12),"")</f>
        <v/>
      </c>
      <c r="J12" s="26" t="n">
        <v>28.75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7" t="n">
        <v>97</v>
      </c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7" t="n">
        <v>97</v>
      </c>
      <c r="D14" s="21" t="n"/>
      <c r="E14" s="27" t="n">
        <v>95</v>
      </c>
      <c r="F14" s="21" t="n"/>
      <c r="G14" s="24" t="n">
        <v>100</v>
      </c>
      <c r="H14" s="25" t="n">
        <v>87</v>
      </c>
      <c r="I14" s="23">
        <f>IFERROR(AVERAGE(C14:H14),"")</f>
        <v/>
      </c>
      <c r="J14" s="26" t="n">
        <v>28.75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1" t="n"/>
      <c r="D15" s="25" t="n">
        <v>87</v>
      </c>
      <c r="E15" s="21" t="n"/>
      <c r="F15" s="22" t="n">
        <v>47</v>
      </c>
      <c r="G15" s="21" t="n"/>
      <c r="H15" s="25" t="n">
        <v>87</v>
      </c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5" t="n">
        <v>87</v>
      </c>
      <c r="E16" s="21" t="n"/>
      <c r="F16" s="22" t="n">
        <v>47</v>
      </c>
      <c r="G16" s="21" t="n"/>
      <c r="H16" s="21" t="n"/>
      <c r="I16" s="23">
        <f>IFERROR(AVERAGE(C16:H16),"")</f>
        <v/>
      </c>
      <c r="J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7" t="n">
        <v>97</v>
      </c>
      <c r="D17" s="30" t="n"/>
      <c r="E17" s="30" t="n"/>
      <c r="F17" s="30" t="n"/>
      <c r="G17" s="24" t="n">
        <v>100</v>
      </c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27" t="n">
        <v>97</v>
      </c>
      <c r="D18" s="30" t="n"/>
      <c r="E18" s="27" t="n">
        <v>95</v>
      </c>
      <c r="F18" s="30" t="n"/>
      <c r="G18" s="24" t="n">
        <v>100</v>
      </c>
      <c r="H18" s="30" t="n"/>
      <c r="I18" s="23">
        <f>IFERROR(AVERAGE(C18:H18),"")</f>
        <v/>
      </c>
      <c r="J18" s="26" t="n">
        <v>28.75</v>
      </c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DaKayla Dorsey</t>
        </is>
      </c>
      <c r="C20" s="30" t="n"/>
      <c r="D20" s="30" t="n"/>
      <c r="E20" s="30" t="n"/>
      <c r="F20" s="30" t="n"/>
      <c r="G20" s="30" t="n"/>
      <c r="H20" s="25" t="n">
        <v>87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Emanuela Kamara</t>
        </is>
      </c>
      <c r="C21" s="30" t="n"/>
      <c r="D21" s="30" t="n"/>
      <c r="E21" s="27" t="n">
        <v>95</v>
      </c>
      <c r="F21" s="30" t="n"/>
      <c r="G21" s="30" t="n"/>
      <c r="H21" s="25" t="n">
        <v>87</v>
      </c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Francisco Llorente Mejias</t>
        </is>
      </c>
      <c r="C22" s="27" t="n">
        <v>97</v>
      </c>
      <c r="D22" s="25" t="n">
        <v>87</v>
      </c>
      <c r="E22" s="30" t="n"/>
      <c r="F22" s="22" t="n">
        <v>47</v>
      </c>
      <c r="G22" s="30" t="n"/>
      <c r="H22" s="30" t="n"/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Jada Cox</t>
        </is>
      </c>
      <c r="C23" s="27" t="n">
        <v>97</v>
      </c>
      <c r="D23" s="30" t="n"/>
      <c r="E23" s="30" t="n"/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Jeremiah Matthews</t>
        </is>
      </c>
      <c r="C24" s="27" t="n">
        <v>97</v>
      </c>
      <c r="D24" s="25" t="n">
        <v>87</v>
      </c>
      <c r="E24" s="27" t="n">
        <v>95</v>
      </c>
      <c r="F24" s="30" t="n"/>
      <c r="G24" s="30" t="n"/>
      <c r="H24" s="25" t="n">
        <v>87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Kaisha Brewer</t>
        </is>
      </c>
      <c r="C25" s="30" t="n"/>
      <c r="D25" s="30" t="n"/>
      <c r="E25" s="30" t="n"/>
      <c r="F25" s="22" t="n">
        <v>47</v>
      </c>
      <c r="G25" s="30" t="n"/>
      <c r="H25" s="25" t="n">
        <v>87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Lidy Henry</t>
        </is>
      </c>
      <c r="C26" s="27" t="n">
        <v>97</v>
      </c>
      <c r="D26" s="25" t="n">
        <v>87</v>
      </c>
      <c r="E26" s="27" t="n">
        <v>95</v>
      </c>
      <c r="F26" s="22" t="n">
        <v>47</v>
      </c>
      <c r="G26" s="24" t="n">
        <v>100</v>
      </c>
      <c r="H26" s="25" t="n">
        <v>87</v>
      </c>
      <c r="I26" s="23">
        <f>IFERROR(AVERAGE(C26:H26),"")</f>
        <v/>
      </c>
      <c r="J26" s="26" t="n">
        <v>28.75</v>
      </c>
    </row>
    <row r="27" ht="17" customHeight="1">
      <c r="A27" s="28" t="inlineStr">
        <is>
          <t>CREW</t>
        </is>
      </c>
      <c r="B27" s="29" t="inlineStr">
        <is>
          <t>Maylin Hernandez Rodriguez</t>
        </is>
      </c>
      <c r="C27" s="27" t="n">
        <v>97</v>
      </c>
      <c r="D27" s="30" t="n"/>
      <c r="E27" s="30" t="n"/>
      <c r="F27" s="30" t="n"/>
      <c r="G27" s="24" t="n">
        <v>100</v>
      </c>
      <c r="H27" s="30" t="n"/>
      <c r="I27" s="23">
        <f>IFERROR(AVERAGE(C27:H27),"")</f>
        <v/>
      </c>
      <c r="J27" s="26" t="n">
        <v>28.75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30" t="n"/>
      <c r="D28" s="30" t="n"/>
      <c r="E28" s="27" t="n">
        <v>95</v>
      </c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Noel Belisle</t>
        </is>
      </c>
      <c r="C29" s="30" t="n"/>
      <c r="D29" s="25" t="n">
        <v>87</v>
      </c>
      <c r="E29" s="30" t="n"/>
      <c r="F29" s="30" t="n"/>
      <c r="G29" s="30" t="n"/>
      <c r="H29" s="25" t="n">
        <v>87</v>
      </c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Richard Gibbs</t>
        </is>
      </c>
      <c r="C30" s="27" t="n">
        <v>97</v>
      </c>
      <c r="D30" s="30" t="n"/>
      <c r="E30" s="30" t="n"/>
      <c r="F30" s="22" t="n">
        <v>47</v>
      </c>
      <c r="G30" s="24" t="n">
        <v>100</v>
      </c>
      <c r="H30" s="25" t="n">
        <v>87</v>
      </c>
      <c r="I30" s="23">
        <f>IFERROR(AVERAGE(C30:H30),"")</f>
        <v/>
      </c>
      <c r="J30" s="26" t="n">
        <v>28.75</v>
      </c>
    </row>
    <row r="31" ht="17" customHeight="1">
      <c r="A31" s="28" t="inlineStr">
        <is>
          <t>CREW</t>
        </is>
      </c>
      <c r="B31" s="29" t="inlineStr">
        <is>
          <t>Samuel Galban Rocha</t>
        </is>
      </c>
      <c r="C31" s="27" t="n">
        <v>97</v>
      </c>
      <c r="D31" s="30" t="n"/>
      <c r="E31" s="30" t="n"/>
      <c r="F31" s="30" t="n"/>
      <c r="G31" s="30" t="n"/>
      <c r="H31" s="30" t="n"/>
      <c r="I31" s="23">
        <f>IFERROR(AVERAGE(C31:H31),"")</f>
        <v/>
      </c>
      <c r="J31" s="30" t="n"/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7" t="n">
        <v>95</v>
      </c>
      <c r="F12" s="22" t="n">
        <v>75</v>
      </c>
      <c r="G12" s="22" t="n">
        <v>60</v>
      </c>
      <c r="H12" s="21" t="n"/>
      <c r="I12" s="23">
        <f>IFERROR(AVERAGE(C12:H12),"")</f>
        <v/>
      </c>
      <c r="J12" s="26" t="n">
        <v>61.33</v>
      </c>
    </row>
    <row r="13" ht="17" customHeight="1">
      <c r="A13" s="19" t="inlineStr">
        <is>
          <t>Manager</t>
        </is>
      </c>
      <c r="B13" s="20" t="inlineStr">
        <is>
          <t>Nathan Roberts</t>
        </is>
      </c>
      <c r="C13" s="21" t="n"/>
      <c r="D13" s="21" t="n"/>
      <c r="E13" s="27" t="n">
        <v>95</v>
      </c>
      <c r="F13" s="21" t="n"/>
      <c r="G13" s="21" t="n"/>
      <c r="H13" s="27" t="n">
        <v>92</v>
      </c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7" t="n">
        <v>95</v>
      </c>
      <c r="F14" s="21" t="n"/>
      <c r="G14" s="22" t="n">
        <v>60</v>
      </c>
      <c r="H14" s="27" t="n">
        <v>92</v>
      </c>
      <c r="I14" s="23">
        <f>IFERROR(AVERAGE(C14:H14),"")</f>
        <v/>
      </c>
      <c r="J14" s="26" t="n">
        <v>61.33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4" t="n">
        <v>100</v>
      </c>
      <c r="D15" s="21" t="n"/>
      <c r="E15" s="27" t="n">
        <v>95</v>
      </c>
      <c r="F15" s="21" t="n"/>
      <c r="G15" s="22" t="n">
        <v>60</v>
      </c>
      <c r="H15" s="21" t="n"/>
      <c r="I15" s="23">
        <f>IFERROR(AVERAGE(C15:H15),"")</f>
        <v/>
      </c>
      <c r="J15" s="26" t="n">
        <v>38.33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30" t="n"/>
      <c r="F17" s="22" t="n">
        <v>75</v>
      </c>
      <c r="G17" s="22" t="n">
        <v>60</v>
      </c>
      <c r="H17" s="30" t="n"/>
      <c r="I17" s="23">
        <f>IFERROR(AVERAGE(C17:H17),"")</f>
        <v/>
      </c>
      <c r="J17" s="30" t="n"/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92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24" t="n">
        <v>100</v>
      </c>
      <c r="E19" s="30" t="n"/>
      <c r="F19" s="30" t="n"/>
      <c r="G19" s="30" t="n"/>
      <c r="H19" s="30" t="n"/>
      <c r="I19" s="23">
        <f>IFERROR(AVERAGE(C19:H19),"")</f>
        <v/>
      </c>
      <c r="J19" s="26" t="n">
        <v>23</v>
      </c>
    </row>
    <row r="20" ht="17" customHeight="1">
      <c r="A20" s="28" t="inlineStr">
        <is>
          <t>CREW</t>
        </is>
      </c>
      <c r="B20" s="29" t="inlineStr">
        <is>
          <t>DJuan Johnson</t>
        </is>
      </c>
      <c r="C20" s="30" t="n"/>
      <c r="D20" s="30" t="n"/>
      <c r="E20" s="30" t="n"/>
      <c r="F20" s="30" t="n"/>
      <c r="G20" s="30" t="n"/>
      <c r="H20" s="27" t="n">
        <v>92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DaKayla Dorsey</t>
        </is>
      </c>
      <c r="C21" s="30" t="n"/>
      <c r="D21" s="24" t="n">
        <v>100</v>
      </c>
      <c r="E21" s="30" t="n"/>
      <c r="F21" s="30" t="n"/>
      <c r="G21" s="30" t="n"/>
      <c r="H21" s="30" t="n"/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30" t="n"/>
      <c r="D22" s="30" t="n"/>
      <c r="E22" s="30" t="n"/>
      <c r="F22" s="30" t="n"/>
      <c r="G22" s="30" t="n"/>
      <c r="H22" s="27" t="n">
        <v>92</v>
      </c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4" t="n">
        <v>100</v>
      </c>
      <c r="D23" s="24" t="n">
        <v>100</v>
      </c>
      <c r="E23" s="30" t="n"/>
      <c r="F23" s="22" t="n">
        <v>75</v>
      </c>
      <c r="G23" s="22" t="n">
        <v>60</v>
      </c>
      <c r="H23" s="27" t="n">
        <v>92</v>
      </c>
      <c r="I23" s="23">
        <f>IFERROR(AVERAGE(C23:H23),"")</f>
        <v/>
      </c>
      <c r="J23" s="26" t="n">
        <v>61.33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30" t="n"/>
      <c r="E24" s="30" t="n"/>
      <c r="F24" s="22" t="n">
        <v>75</v>
      </c>
      <c r="G24" s="30" t="n"/>
      <c r="H24" s="27" t="n">
        <v>92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7" t="n">
        <v>95</v>
      </c>
      <c r="F25" s="22" t="n">
        <v>75</v>
      </c>
      <c r="G25" s="30" t="n"/>
      <c r="H25" s="27" t="n">
        <v>92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4" t="n">
        <v>100</v>
      </c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61.33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30" t="n"/>
      <c r="E27" s="27" t="n">
        <v>95</v>
      </c>
      <c r="F27" s="30" t="n"/>
      <c r="G27" s="22" t="n">
        <v>60</v>
      </c>
      <c r="H27" s="30" t="n"/>
      <c r="I27" s="23">
        <f>IFERROR(AVERAGE(C27:H27),"")</f>
        <v/>
      </c>
      <c r="J27" s="26" t="n">
        <v>38.33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30" t="n"/>
      <c r="G28" s="22" t="n">
        <v>60</v>
      </c>
      <c r="H28" s="27" t="n">
        <v>92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Robert Muncy Jr</t>
        </is>
      </c>
      <c r="C30" s="30" t="n"/>
      <c r="D30" s="24" t="n">
        <v>100</v>
      </c>
      <c r="E30" s="30" t="n"/>
      <c r="F30" s="30" t="n"/>
      <c r="G30" s="30" t="n"/>
      <c r="H30" s="30" t="n"/>
      <c r="I30" s="23">
        <f>IFERROR(AVERAGE(C30:H30),"")</f>
        <v/>
      </c>
      <c r="J30" s="26" t="n">
        <v>23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30" t="n"/>
      <c r="D31" s="24" t="n">
        <v>100</v>
      </c>
      <c r="E31" s="27" t="n">
        <v>95</v>
      </c>
      <c r="F31" s="22" t="n">
        <v>75</v>
      </c>
      <c r="G31" s="22" t="n">
        <v>60</v>
      </c>
      <c r="H31" s="27" t="n">
        <v>92</v>
      </c>
      <c r="I31" s="23">
        <f>IFERROR(AVERAGE(C31:H31),"")</f>
        <v/>
      </c>
      <c r="J31" s="26" t="n">
        <v>23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Madelynn Smith</t>
        </is>
      </c>
      <c r="C12" s="21" t="n"/>
      <c r="D12" s="21" t="n"/>
      <c r="E12" s="25" t="n">
        <v>80</v>
      </c>
      <c r="F12" s="21" t="n"/>
      <c r="G12" s="24" t="n">
        <v>100</v>
      </c>
      <c r="H12" s="21" t="n"/>
      <c r="I12" s="23">
        <f>IFERROR(AVERAGE(C12:H12),"")</f>
        <v/>
      </c>
      <c r="J12" s="26" t="n">
        <v>38.33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1" t="n"/>
      <c r="E13" s="25" t="n">
        <v>80</v>
      </c>
      <c r="F13" s="24" t="n">
        <v>100</v>
      </c>
      <c r="G13" s="24" t="n">
        <v>100</v>
      </c>
      <c r="H13" s="24" t="n">
        <v>100</v>
      </c>
      <c r="I13" s="23">
        <f>IFERROR(AVERAGE(C13:H13),"")</f>
        <v/>
      </c>
      <c r="J13" s="26" t="n">
        <v>94.19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23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7" t="n">
        <v>95</v>
      </c>
      <c r="D15" s="24" t="n">
        <v>100</v>
      </c>
      <c r="E15" s="21" t="n"/>
      <c r="F15" s="24" t="n">
        <v>100</v>
      </c>
      <c r="G15" s="21" t="n"/>
      <c r="H15" s="21" t="n"/>
      <c r="I15" s="23">
        <f>IFERROR(AVERAGE(C15:H15),"")</f>
        <v/>
      </c>
      <c r="J15" s="26" t="n">
        <v>78.86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30" t="n"/>
      <c r="E16" s="25" t="n">
        <v>80</v>
      </c>
      <c r="F16" s="30" t="n"/>
      <c r="G16" s="24" t="n">
        <v>100</v>
      </c>
      <c r="H16" s="24" t="n">
        <v>100</v>
      </c>
      <c r="I16" s="23">
        <f>IFERROR(AVERAGE(C16:H16),"")</f>
        <v/>
      </c>
      <c r="J16" s="26" t="n">
        <v>61.33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25" t="n">
        <v>80</v>
      </c>
      <c r="F17" s="24" t="n">
        <v>100</v>
      </c>
      <c r="G17" s="24" t="n">
        <v>100</v>
      </c>
      <c r="H17" s="24" t="n">
        <v>100</v>
      </c>
      <c r="I17" s="23">
        <f>IFERROR(AVERAGE(C17:H17),"")</f>
        <v/>
      </c>
      <c r="J17" s="26" t="n">
        <v>94.19</v>
      </c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24" t="n">
        <v>100</v>
      </c>
      <c r="E18" s="30" t="n"/>
      <c r="F18" s="24" t="n">
        <v>100</v>
      </c>
      <c r="G18" s="30" t="n"/>
      <c r="H18" s="30" t="n"/>
      <c r="I18" s="23">
        <f>IFERROR(AVERAGE(C18:H18),"")</f>
        <v/>
      </c>
      <c r="J18" s="26" t="n">
        <v>78.86</v>
      </c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30" t="n"/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32.86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30" t="n"/>
      <c r="D20" s="30" t="n"/>
      <c r="E20" s="25" t="n">
        <v>80</v>
      </c>
      <c r="F20" s="24" t="n">
        <v>100</v>
      </c>
      <c r="G20" s="24" t="n">
        <v>100</v>
      </c>
      <c r="H20" s="30" t="n"/>
      <c r="I20" s="23">
        <f>IFERROR(AVERAGE(C20:H20),"")</f>
        <v/>
      </c>
      <c r="J20" s="26" t="n">
        <v>71.19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7" t="n">
        <v>95</v>
      </c>
      <c r="D21" s="30" t="n"/>
      <c r="E21" s="25" t="n">
        <v>80</v>
      </c>
      <c r="F21" s="30" t="n"/>
      <c r="G21" s="30" t="n"/>
      <c r="H21" s="24" t="n">
        <v>100</v>
      </c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5" t="n">
        <v>80</v>
      </c>
      <c r="F22" s="30" t="n"/>
      <c r="G22" s="30" t="n"/>
      <c r="H22" s="24" t="n">
        <v>100</v>
      </c>
      <c r="I22" s="23">
        <f>IFERROR(AVERAGE(C22:H22),"")</f>
        <v/>
      </c>
      <c r="J22" s="26" t="n">
        <v>23</v>
      </c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4" t="n">
        <v>100</v>
      </c>
      <c r="E23" s="30" t="n"/>
      <c r="F23" s="30" t="n"/>
      <c r="G23" s="30" t="n"/>
      <c r="H23" s="30" t="n"/>
      <c r="I23" s="23">
        <f>IFERROR(AVERAGE(C23:H23),"")</f>
        <v/>
      </c>
      <c r="J23" s="26" t="n">
        <v>46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27" t="n">
        <v>95</v>
      </c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46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30" t="n"/>
      <c r="D25" s="30" t="n"/>
      <c r="E25" s="25" t="n">
        <v>80</v>
      </c>
      <c r="F25" s="24" t="n">
        <v>100</v>
      </c>
      <c r="G25" s="24" t="n">
        <v>100</v>
      </c>
      <c r="H25" s="24" t="n">
        <v>100</v>
      </c>
      <c r="I25" s="23">
        <f>IFERROR(AVERAGE(C25:H25),"")</f>
        <v/>
      </c>
      <c r="J25" s="26" t="n">
        <v>94.19</v>
      </c>
    </row>
    <row r="26" ht="17" customHeight="1">
      <c r="A26" s="28" t="inlineStr">
        <is>
          <t>CREW</t>
        </is>
      </c>
      <c r="B26" s="29" t="inlineStr">
        <is>
          <t>Richard Gibbs</t>
        </is>
      </c>
      <c r="C26" s="30" t="n"/>
      <c r="D26" s="30" t="n"/>
      <c r="E26" s="25" t="n">
        <v>80</v>
      </c>
      <c r="F26" s="30" t="n"/>
      <c r="G26" s="30" t="n"/>
      <c r="H26" s="24" t="n">
        <v>100</v>
      </c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Rusul Kadhim</t>
        </is>
      </c>
      <c r="C27" s="30" t="n"/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23</v>
      </c>
    </row>
    <row r="28" ht="17" customHeight="1">
      <c r="A28" s="28" t="inlineStr">
        <is>
          <t>CREW</t>
        </is>
      </c>
      <c r="B28" s="29" t="inlineStr">
        <is>
          <t>Serina Gaskins</t>
        </is>
      </c>
      <c r="C28" s="30" t="n"/>
      <c r="D28" s="30" t="n"/>
      <c r="E28" s="30" t="n"/>
      <c r="F28" s="30" t="n"/>
      <c r="G28" s="30" t="n"/>
      <c r="H28" s="24" t="n">
        <v>100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95</v>
      </c>
      <c r="D29" s="24" t="n">
        <v>100</v>
      </c>
      <c r="E29" s="25" t="n">
        <v>80</v>
      </c>
      <c r="F29" s="30" t="n"/>
      <c r="G29" s="30" t="n"/>
      <c r="H29" s="30" t="n"/>
      <c r="I29" s="23">
        <f>IFERROR(AVERAGE(C29:H29),"")</f>
        <v/>
      </c>
      <c r="J29" s="26" t="n">
        <v>46</v>
      </c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5" t="n">
        <v>85</v>
      </c>
      <c r="D12" s="22" t="n">
        <v>0</v>
      </c>
      <c r="E12" s="21" t="n"/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Christopher Conder</t>
        </is>
      </c>
      <c r="C13" s="21" t="n"/>
      <c r="D13" s="22" t="n">
        <v>0</v>
      </c>
      <c r="E13" s="21" t="n"/>
      <c r="F13" s="27" t="n">
        <v>95</v>
      </c>
      <c r="G13" s="21" t="n"/>
      <c r="H13" s="24" t="n">
        <v>100</v>
      </c>
      <c r="I13" s="23">
        <f>IFERROR(AVERAGE(C13:H13),"")</f>
        <v/>
      </c>
      <c r="J13" s="26" t="n">
        <v>32.86</v>
      </c>
    </row>
    <row r="14" ht="17" customHeight="1">
      <c r="A14" s="19" t="inlineStr">
        <is>
          <t>Manager</t>
        </is>
      </c>
      <c r="B14" s="20" t="inlineStr">
        <is>
          <t>Heather Uebelacker-Maddox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32.86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5" t="n">
        <v>85</v>
      </c>
      <c r="D15" s="21" t="n"/>
      <c r="E15" s="21" t="n"/>
      <c r="F15" s="27" t="n">
        <v>95</v>
      </c>
      <c r="G15" s="21" t="n"/>
      <c r="H15" s="21" t="n"/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1" t="n"/>
      <c r="D16" s="22" t="n">
        <v>0</v>
      </c>
      <c r="E16" s="25" t="n">
        <v>87</v>
      </c>
      <c r="F16" s="27" t="n">
        <v>95</v>
      </c>
      <c r="G16" s="24" t="n">
        <v>100</v>
      </c>
      <c r="H16" s="24" t="n">
        <v>100</v>
      </c>
      <c r="I16" s="23">
        <f>IFERROR(AVERAGE(C16:H16),"")</f>
        <v/>
      </c>
      <c r="J16" s="26" t="n">
        <v>58.41</v>
      </c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5" t="n">
        <v>85</v>
      </c>
      <c r="D17" s="21" t="n"/>
      <c r="E17" s="21" t="n"/>
      <c r="F17" s="27" t="n">
        <v>95</v>
      </c>
      <c r="G17" s="24" t="n">
        <v>100</v>
      </c>
      <c r="H17" s="24" t="n">
        <v>100</v>
      </c>
      <c r="I17" s="23">
        <f>IFERROR(AVERAGE(C17:H17),"")</f>
        <v/>
      </c>
      <c r="J17" s="26" t="n">
        <v>58.41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1" t="n"/>
      <c r="E18" s="21" t="n"/>
      <c r="F18" s="27" t="n">
        <v>95</v>
      </c>
      <c r="G18" s="21" t="n"/>
      <c r="H18" s="24" t="n">
        <v>100</v>
      </c>
      <c r="I18" s="23">
        <f>IFERROR(AVERAGE(C18:H18),"")</f>
        <v/>
      </c>
      <c r="J18" s="26" t="n">
        <v>32.86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5" t="n">
        <v>85</v>
      </c>
      <c r="D19" s="21" t="n"/>
      <c r="E19" s="25" t="n">
        <v>87</v>
      </c>
      <c r="F19" s="21" t="n"/>
      <c r="G19" s="21" t="n"/>
      <c r="H19" s="21" t="n"/>
      <c r="I19" s="23">
        <f>IFERROR(AVERAGE(C19:H19),"")</f>
        <v/>
      </c>
      <c r="J19" s="21" t="n"/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30" t="n"/>
      <c r="E20" s="30" t="n"/>
      <c r="F20" s="27" t="n">
        <v>95</v>
      </c>
      <c r="G20" s="24" t="n">
        <v>100</v>
      </c>
      <c r="H20" s="30" t="n"/>
      <c r="I20" s="23">
        <f>IFERROR(AVERAGE(C20:H20),"")</f>
        <v/>
      </c>
      <c r="J20" s="26" t="n">
        <v>25.56</v>
      </c>
    </row>
    <row r="21" ht="17" customHeight="1">
      <c r="A21" s="28" t="inlineStr">
        <is>
          <t>CREW</t>
        </is>
      </c>
      <c r="B21" s="29" t="inlineStr">
        <is>
          <t>DJuan Johnson</t>
        </is>
      </c>
      <c r="C21" s="30" t="n"/>
      <c r="D21" s="30" t="n"/>
      <c r="E21" s="25" t="n">
        <v>87</v>
      </c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Elizabeth Brazell</t>
        </is>
      </c>
      <c r="C22" s="30" t="n"/>
      <c r="D22" s="30" t="n"/>
      <c r="E22" s="25" t="n">
        <v>87</v>
      </c>
      <c r="F22" s="27" t="n">
        <v>95</v>
      </c>
      <c r="G22" s="24" t="n">
        <v>100</v>
      </c>
      <c r="H22" s="30" t="n"/>
      <c r="I22" s="23">
        <f>IFERROR(AVERAGE(C22:H22),"")</f>
        <v/>
      </c>
      <c r="J22" s="26" t="n">
        <v>25.56</v>
      </c>
    </row>
    <row r="23" ht="17" customHeight="1">
      <c r="A23" s="28" t="inlineStr">
        <is>
          <t>CREW</t>
        </is>
      </c>
      <c r="B23" s="29" t="inlineStr">
        <is>
          <t>Emanuela Kamara</t>
        </is>
      </c>
      <c r="C23" s="30" t="n"/>
      <c r="D23" s="22" t="n">
        <v>0</v>
      </c>
      <c r="E23" s="25" t="n">
        <v>87</v>
      </c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Francisco Llorente Mejias</t>
        </is>
      </c>
      <c r="C24" s="25" t="n">
        <v>85</v>
      </c>
      <c r="D24" s="30" t="n"/>
      <c r="E24" s="25" t="n">
        <v>87</v>
      </c>
      <c r="F24" s="27" t="n">
        <v>95</v>
      </c>
      <c r="G24" s="24" t="n">
        <v>100</v>
      </c>
      <c r="H24" s="30" t="n"/>
      <c r="I24" s="23">
        <f>IFERROR(AVERAGE(C24:H24),"")</f>
        <v/>
      </c>
      <c r="J24" s="26" t="n">
        <v>25.56</v>
      </c>
    </row>
    <row r="25" ht="17" customHeight="1">
      <c r="A25" s="28" t="inlineStr">
        <is>
          <t>CREW</t>
        </is>
      </c>
      <c r="B25" s="29" t="inlineStr">
        <is>
          <t>Javeh Goodman</t>
        </is>
      </c>
      <c r="C25" s="30" t="n"/>
      <c r="D25" s="30" t="n"/>
      <c r="E25" s="30" t="n"/>
      <c r="F25" s="27" t="n">
        <v>95</v>
      </c>
      <c r="G25" s="24" t="n">
        <v>100</v>
      </c>
      <c r="H25" s="30" t="n"/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Jeremiah Matthews</t>
        </is>
      </c>
      <c r="C26" s="25" t="n">
        <v>85</v>
      </c>
      <c r="D26" s="22" t="n">
        <v>0</v>
      </c>
      <c r="E26" s="30" t="n"/>
      <c r="F26" s="27" t="n">
        <v>95</v>
      </c>
      <c r="G26" s="24" t="n">
        <v>100</v>
      </c>
      <c r="H26" s="30" t="n"/>
      <c r="I26" s="23">
        <f>IFERROR(AVERAGE(C26:H26),"")</f>
        <v/>
      </c>
      <c r="J26" s="26" t="n">
        <v>25.56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5" t="n">
        <v>85</v>
      </c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32.86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25" t="n">
        <v>85</v>
      </c>
      <c r="D28" s="30" t="n"/>
      <c r="E28" s="30" t="n"/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22" t="n">
        <v>0</v>
      </c>
      <c r="E29" s="30" t="n"/>
      <c r="F29" s="30" t="n"/>
      <c r="G29" s="24" t="n">
        <v>100</v>
      </c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Serina Gaskins</t>
        </is>
      </c>
      <c r="C30" s="25" t="n">
        <v>85</v>
      </c>
      <c r="D30" s="30" t="n"/>
      <c r="E30" s="25" t="n">
        <v>87</v>
      </c>
      <c r="F30" s="27" t="n">
        <v>95</v>
      </c>
      <c r="G30" s="24" t="n">
        <v>100</v>
      </c>
      <c r="H30" s="30" t="n"/>
      <c r="I30" s="23">
        <f>IFERROR(AVERAGE(C30:H30),"")</f>
        <v/>
      </c>
      <c r="J30" s="26" t="n">
        <v>25.56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25" t="n">
        <v>85</v>
      </c>
      <c r="D31" s="30" t="n"/>
      <c r="E31" s="25" t="n">
        <v>87</v>
      </c>
      <c r="F31" s="30" t="n"/>
      <c r="G31" s="30" t="n"/>
      <c r="H31" s="24" t="n">
        <v>100</v>
      </c>
      <c r="I31" s="23">
        <f>IFERROR(AVERAGE(C31:H31),"")</f>
        <v/>
      </c>
      <c r="J31" s="26" t="n">
        <v>32.86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7" t="n">
        <v>95</v>
      </c>
      <c r="E12" s="27" t="n">
        <v>95</v>
      </c>
      <c r="F12" s="24" t="n">
        <v>100</v>
      </c>
      <c r="G12" s="21" t="n"/>
      <c r="H12" s="21" t="n"/>
      <c r="I12" s="23">
        <f>IFERROR(AVERAGE(C12:H12),"")</f>
        <v/>
      </c>
      <c r="J12" s="26" t="n">
        <v>41.82</v>
      </c>
    </row>
    <row r="13" ht="17" customHeight="1">
      <c r="A13" s="19" t="inlineStr">
        <is>
          <t>Manager</t>
        </is>
      </c>
      <c r="B13" s="20" t="inlineStr">
        <is>
          <t>Heather Uebelacker-Maddox</t>
        </is>
      </c>
      <c r="C13" s="24" t="n">
        <v>100</v>
      </c>
      <c r="D13" s="27" t="n">
        <v>95</v>
      </c>
      <c r="E13" s="27" t="n">
        <v>95</v>
      </c>
      <c r="F13" s="24" t="n">
        <v>100</v>
      </c>
      <c r="G13" s="21" t="n"/>
      <c r="H13" s="21" t="n"/>
      <c r="I13" s="23">
        <f>IFERROR(AVERAGE(C13:H13),"")</f>
        <v/>
      </c>
      <c r="J13" s="26" t="n">
        <v>41.82</v>
      </c>
    </row>
    <row r="14" ht="17" customHeight="1">
      <c r="A14" s="19" t="inlineStr">
        <is>
          <t>Manager</t>
        </is>
      </c>
      <c r="B14" s="20" t="inlineStr">
        <is>
          <t>Madelynn Smith</t>
        </is>
      </c>
      <c r="C14" s="24" t="n">
        <v>100</v>
      </c>
      <c r="D14" s="21" t="n"/>
      <c r="E14" s="21" t="n"/>
      <c r="F14" s="24" t="n">
        <v>100</v>
      </c>
      <c r="G14" s="24" t="n">
        <v>100</v>
      </c>
      <c r="H14" s="21" t="n"/>
      <c r="I14" s="23">
        <f>IFERROR(AVERAGE(C14:H14),"")</f>
        <v/>
      </c>
      <c r="J14" s="26" t="n">
        <v>70.56999999999999</v>
      </c>
    </row>
    <row r="15" ht="17" customHeight="1">
      <c r="A15" s="19" t="inlineStr">
        <is>
          <t>Manager</t>
        </is>
      </c>
      <c r="B15" s="20" t="inlineStr">
        <is>
          <t>Madison Cureton</t>
        </is>
      </c>
      <c r="C15" s="24" t="n">
        <v>100</v>
      </c>
      <c r="D15" s="21" t="n"/>
      <c r="E15" s="27" t="n">
        <v>95</v>
      </c>
      <c r="F15" s="24" t="n">
        <v>100</v>
      </c>
      <c r="G15" s="24" t="n">
        <v>100</v>
      </c>
      <c r="H15" s="22" t="n">
        <v>0</v>
      </c>
      <c r="I15" s="23">
        <f>IFERROR(AVERAGE(C15:H15),"")</f>
        <v/>
      </c>
      <c r="J15" s="26" t="n">
        <v>70.56999999999999</v>
      </c>
    </row>
    <row r="16" ht="17" customHeight="1">
      <c r="A16" s="19" t="inlineStr">
        <is>
          <t>Manager</t>
        </is>
      </c>
      <c r="B16" s="20" t="inlineStr">
        <is>
          <t>Robert Cline</t>
        </is>
      </c>
      <c r="C16" s="24" t="n">
        <v>100</v>
      </c>
      <c r="D16" s="21" t="n"/>
      <c r="E16" s="21" t="n"/>
      <c r="F16" s="24" t="n">
        <v>100</v>
      </c>
      <c r="G16" s="24" t="n">
        <v>100</v>
      </c>
      <c r="H16" s="21" t="n"/>
      <c r="I16" s="23">
        <f>IFERROR(AVERAGE(C16:H16),"")</f>
        <v/>
      </c>
      <c r="J16" s="26" t="n">
        <v>70.56999999999999</v>
      </c>
    </row>
    <row r="17" ht="17" customHeight="1">
      <c r="A17" s="19" t="inlineStr">
        <is>
          <t>Manager</t>
        </is>
      </c>
      <c r="B17" s="20" t="inlineStr">
        <is>
          <t>Rusul Kadhim</t>
        </is>
      </c>
      <c r="C17" s="24" t="n">
        <v>100</v>
      </c>
      <c r="D17" s="21" t="n"/>
      <c r="E17" s="21" t="n"/>
      <c r="F17" s="21" t="n"/>
      <c r="G17" s="21" t="n"/>
      <c r="H17" s="21" t="n"/>
      <c r="I17" s="23">
        <f>IFERROR(AVERAGE(C17:H17),"")</f>
        <v/>
      </c>
      <c r="J17" s="26" t="n">
        <v>20.91</v>
      </c>
    </row>
    <row r="18" ht="17" customHeight="1">
      <c r="A18" s="19" t="inlineStr">
        <is>
          <t>Manager</t>
        </is>
      </c>
      <c r="B18" s="20" t="inlineStr">
        <is>
          <t>Vicki Lucey</t>
        </is>
      </c>
      <c r="C18" s="21" t="n"/>
      <c r="D18" s="21" t="n"/>
      <c r="E18" s="21" t="n"/>
      <c r="F18" s="24" t="n">
        <v>100</v>
      </c>
      <c r="G18" s="21" t="n"/>
      <c r="H18" s="22" t="n">
        <v>0</v>
      </c>
      <c r="I18" s="23">
        <f>IFERROR(AVERAGE(C18:H18),"")</f>
        <v/>
      </c>
      <c r="J18" s="26" t="n">
        <v>20.91</v>
      </c>
    </row>
    <row r="19" ht="17" customHeight="1">
      <c r="A19" s="28" t="inlineStr">
        <is>
          <t>CREW</t>
        </is>
      </c>
      <c r="B19" s="29" t="inlineStr">
        <is>
          <t>Ailen Gonzalez Cardero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Brianna Gatewood</t>
        </is>
      </c>
      <c r="C20" s="30" t="n"/>
      <c r="D20" s="30" t="n"/>
      <c r="E20" s="30" t="n"/>
      <c r="F20" s="30" t="n"/>
      <c r="G20" s="30" t="n"/>
      <c r="H20" s="22" t="n">
        <v>0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Cortez Brown</t>
        </is>
      </c>
      <c r="C21" s="30" t="n"/>
      <c r="D21" s="30" t="n"/>
      <c r="E21" s="27" t="n">
        <v>95</v>
      </c>
      <c r="F21" s="24" t="n">
        <v>100</v>
      </c>
      <c r="G21" s="24" t="n">
        <v>100</v>
      </c>
      <c r="H21" s="22" t="n">
        <v>0</v>
      </c>
      <c r="I21" s="23">
        <f>IFERROR(AVERAGE(C21:H21),"")</f>
        <v/>
      </c>
      <c r="J21" s="26" t="n">
        <v>49.66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24" t="n">
        <v>100</v>
      </c>
      <c r="D22" s="30" t="n"/>
      <c r="E22" s="27" t="n">
        <v>95</v>
      </c>
      <c r="F22" s="30" t="n"/>
      <c r="G22" s="24" t="n">
        <v>100</v>
      </c>
      <c r="H22" s="30" t="n"/>
      <c r="I22" s="23">
        <f>IFERROR(AVERAGE(C22:H22),"")</f>
        <v/>
      </c>
      <c r="J22" s="26" t="n">
        <v>49.66</v>
      </c>
    </row>
    <row r="23" ht="17" customHeight="1">
      <c r="A23" s="28" t="inlineStr">
        <is>
          <t>CREW</t>
        </is>
      </c>
      <c r="B23" s="29" t="inlineStr">
        <is>
          <t>Elizabeth Brazell</t>
        </is>
      </c>
      <c r="C23" s="24" t="n">
        <v>100</v>
      </c>
      <c r="D23" s="30" t="n"/>
      <c r="E23" s="27" t="n">
        <v>95</v>
      </c>
      <c r="F23" s="30" t="n"/>
      <c r="G23" s="24" t="n">
        <v>100</v>
      </c>
      <c r="H23" s="30" t="n"/>
      <c r="I23" s="23">
        <f>IFERROR(AVERAGE(C23:H23),"")</f>
        <v/>
      </c>
      <c r="J23" s="26" t="n">
        <v>49.66</v>
      </c>
    </row>
    <row r="24" ht="17" customHeight="1">
      <c r="A24" s="28" t="inlineStr">
        <is>
          <t>CREW</t>
        </is>
      </c>
      <c r="B24" s="29" t="inlineStr">
        <is>
          <t>Emanuela Kamara</t>
        </is>
      </c>
      <c r="C24" s="24" t="n">
        <v>100</v>
      </c>
      <c r="D24" s="27" t="n">
        <v>95</v>
      </c>
      <c r="E24" s="27" t="n">
        <v>95</v>
      </c>
      <c r="F24" s="30" t="n"/>
      <c r="G24" s="30" t="n"/>
      <c r="H24" s="22" t="n">
        <v>0</v>
      </c>
      <c r="I24" s="23">
        <f>IFERROR(AVERAGE(C24:H24),"")</f>
        <v/>
      </c>
      <c r="J24" s="26" t="n">
        <v>20.91</v>
      </c>
    </row>
    <row r="25" ht="17" customHeight="1">
      <c r="A25" s="28" t="inlineStr">
        <is>
          <t>CREW</t>
        </is>
      </c>
      <c r="B25" s="29" t="inlineStr">
        <is>
          <t>Francisco Llorente Mejias</t>
        </is>
      </c>
      <c r="C25" s="30" t="n"/>
      <c r="D25" s="30" t="n"/>
      <c r="E25" s="30" t="n"/>
      <c r="F25" s="24" t="n">
        <v>100</v>
      </c>
      <c r="G25" s="30" t="n"/>
      <c r="H25" s="22" t="n">
        <v>0</v>
      </c>
      <c r="I25" s="23">
        <f>IFERROR(AVERAGE(C25:H25),"")</f>
        <v/>
      </c>
      <c r="J25" s="26" t="n">
        <v>20.91</v>
      </c>
    </row>
    <row r="26" ht="17" customHeight="1">
      <c r="A26" s="28" t="inlineStr">
        <is>
          <t>CREW</t>
        </is>
      </c>
      <c r="B26" s="29" t="inlineStr">
        <is>
          <t>Javeh Goodman</t>
        </is>
      </c>
      <c r="C26" s="30" t="n"/>
      <c r="D26" s="30" t="n"/>
      <c r="E26" s="27" t="n">
        <v>95</v>
      </c>
      <c r="F26" s="30" t="n"/>
      <c r="G26" s="30" t="n"/>
      <c r="H26" s="30" t="n"/>
      <c r="I26" s="23">
        <f>IFERROR(AVERAGE(C26:H26),"")</f>
        <v/>
      </c>
      <c r="J26" s="30" t="n"/>
    </row>
    <row r="27" ht="17" customHeight="1">
      <c r="A27" s="28" t="inlineStr">
        <is>
          <t>CREW</t>
        </is>
      </c>
      <c r="B27" s="29" t="inlineStr">
        <is>
          <t>Lidy Henry</t>
        </is>
      </c>
      <c r="C27" s="30" t="n"/>
      <c r="D27" s="27" t="n">
        <v>95</v>
      </c>
      <c r="E27" s="30" t="n"/>
      <c r="F27" s="24" t="n">
        <v>100</v>
      </c>
      <c r="G27" s="30" t="n"/>
      <c r="H27" s="30" t="n"/>
      <c r="I27" s="23">
        <f>IFERROR(AVERAGE(C27:H27),"")</f>
        <v/>
      </c>
      <c r="J27" s="26" t="n">
        <v>20.91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24" t="n">
        <v>100</v>
      </c>
      <c r="D28" s="27" t="n">
        <v>95</v>
      </c>
      <c r="E28" s="27" t="n">
        <v>95</v>
      </c>
      <c r="F28" s="30" t="n"/>
      <c r="G28" s="30" t="n"/>
      <c r="H28" s="30" t="n"/>
      <c r="I28" s="23">
        <f>IFERROR(AVERAGE(C28:H28),"")</f>
        <v/>
      </c>
      <c r="J28" s="26" t="n">
        <v>20.91</v>
      </c>
    </row>
    <row r="29" ht="17" customHeight="1">
      <c r="A29" s="28" t="inlineStr">
        <is>
          <t>CREW</t>
        </is>
      </c>
      <c r="B29" s="29" t="inlineStr">
        <is>
          <t>Serina Gaskins</t>
        </is>
      </c>
      <c r="C29" s="30" t="n"/>
      <c r="D29" s="30" t="n"/>
      <c r="E29" s="27" t="n">
        <v>95</v>
      </c>
      <c r="F29" s="24" t="n">
        <v>100</v>
      </c>
      <c r="G29" s="24" t="n">
        <v>100</v>
      </c>
      <c r="H29" s="22" t="n">
        <v>0</v>
      </c>
      <c r="I29" s="23">
        <f>IFERROR(AVERAGE(C29:H29),"")</f>
        <v/>
      </c>
      <c r="J29" s="26" t="n">
        <v>49.66</v>
      </c>
    </row>
    <row r="30" ht="17" customHeight="1">
      <c r="A30" s="28" t="inlineStr">
        <is>
          <t>CREW</t>
        </is>
      </c>
      <c r="B30" s="29" t="inlineStr">
        <is>
          <t>Zack Whitten</t>
        </is>
      </c>
      <c r="C30" s="24" t="n">
        <v>100</v>
      </c>
      <c r="D30" s="30" t="n"/>
      <c r="E30" s="27" t="n">
        <v>95</v>
      </c>
      <c r="F30" s="24" t="n">
        <v>100</v>
      </c>
      <c r="G30" s="30" t="n"/>
      <c r="H30" s="22" t="n">
        <v>0</v>
      </c>
      <c r="I30" s="23">
        <f>IFERROR(AVERAGE(C30:H30),"")</f>
        <v/>
      </c>
      <c r="J30" s="26" t="n">
        <v>41.82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1" t="n"/>
      <c r="E12" s="21" t="n"/>
      <c r="F12" s="21" t="n"/>
      <c r="G12" s="23">
        <f>IFERROR(AVERAGE(C12:F12),"")</f>
        <v/>
      </c>
      <c r="H12" s="26" t="n">
        <v>23</v>
      </c>
    </row>
    <row r="13" ht="17" customHeight="1">
      <c r="A13" s="19" t="inlineStr">
        <is>
          <t>Manager</t>
        </is>
      </c>
      <c r="B13" s="20" t="inlineStr">
        <is>
          <t>Bec Cahoe</t>
        </is>
      </c>
      <c r="C13" s="21" t="n"/>
      <c r="D13" s="21" t="n"/>
      <c r="E13" s="21" t="n"/>
      <c r="F13" s="22" t="n">
        <v>43</v>
      </c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Madison Cureton</t>
        </is>
      </c>
      <c r="C14" s="24" t="n">
        <v>100</v>
      </c>
      <c r="D14" s="21" t="n"/>
      <c r="E14" s="21" t="n"/>
      <c r="F14" s="22" t="n">
        <v>43</v>
      </c>
      <c r="G14" s="23">
        <f>IFERROR(AVERAGE(C14:F14),"")</f>
        <v/>
      </c>
      <c r="H14" s="26" t="n">
        <v>23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4" t="n">
        <v>100</v>
      </c>
      <c r="D15" s="24" t="n">
        <v>100</v>
      </c>
      <c r="E15" s="21" t="n"/>
      <c r="F15" s="22" t="n">
        <v>43</v>
      </c>
      <c r="G15" s="23">
        <f>IFERROR(AVERAGE(C15:F15),"")</f>
        <v/>
      </c>
      <c r="H15" s="26" t="n">
        <v>69</v>
      </c>
    </row>
    <row r="16" ht="17" customHeight="1">
      <c r="A16" s="19" t="inlineStr">
        <is>
          <t>Manager</t>
        </is>
      </c>
      <c r="B16" s="20" t="inlineStr">
        <is>
          <t>Rusul Kadhim</t>
        </is>
      </c>
      <c r="C16" s="21" t="n"/>
      <c r="D16" s="21" t="n"/>
      <c r="E16" s="22" t="n">
        <v>34</v>
      </c>
      <c r="F16" s="21" t="n"/>
      <c r="G16" s="23">
        <f>IFERROR(AVERAGE(C16:F16),"")</f>
        <v/>
      </c>
      <c r="H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4" t="n">
        <v>100</v>
      </c>
      <c r="D17" s="30" t="n"/>
      <c r="E17" s="22" t="n">
        <v>34</v>
      </c>
      <c r="F17" s="22" t="n">
        <v>43</v>
      </c>
      <c r="G17" s="23">
        <f>IFERROR(AVERAGE(C17:F17),"")</f>
        <v/>
      </c>
      <c r="H17" s="26" t="n">
        <v>23</v>
      </c>
    </row>
    <row r="18" ht="17" customHeight="1">
      <c r="A18" s="28" t="inlineStr">
        <is>
          <t>CREW</t>
        </is>
      </c>
      <c r="B18" s="29" t="inlineStr">
        <is>
          <t>Cortez Brown</t>
        </is>
      </c>
      <c r="C18" s="30" t="n"/>
      <c r="D18" s="24" t="n">
        <v>100</v>
      </c>
      <c r="E18" s="30" t="n"/>
      <c r="F18" s="30" t="n"/>
      <c r="G18" s="23">
        <f>IFERROR(AVERAGE(C18:F18),"")</f>
        <v/>
      </c>
      <c r="H18" s="26" t="n">
        <v>46</v>
      </c>
    </row>
    <row r="19" ht="17" customHeight="1">
      <c r="A19" s="28" t="inlineStr">
        <is>
          <t>CREW</t>
        </is>
      </c>
      <c r="B19" s="29" t="inlineStr">
        <is>
          <t>Elizabeth Brazell</t>
        </is>
      </c>
      <c r="C19" s="24" t="n">
        <v>100</v>
      </c>
      <c r="D19" s="30" t="n"/>
      <c r="E19" s="30" t="n"/>
      <c r="F19" s="22" t="n">
        <v>43</v>
      </c>
      <c r="G19" s="23">
        <f>IFERROR(AVERAGE(C19:F19),"")</f>
        <v/>
      </c>
      <c r="H19" s="26" t="n">
        <v>23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24" t="n">
        <v>100</v>
      </c>
      <c r="D20" s="30" t="n"/>
      <c r="E20" s="22" t="n">
        <v>34</v>
      </c>
      <c r="F20" s="30" t="n"/>
      <c r="G20" s="23">
        <f>IFERROR(AVERAGE(C20:F20),"")</f>
        <v/>
      </c>
      <c r="H20" s="26" t="n">
        <v>23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4" t="n">
        <v>100</v>
      </c>
      <c r="D21" s="24" t="n">
        <v>100</v>
      </c>
      <c r="E21" s="22" t="n">
        <v>34</v>
      </c>
      <c r="F21" s="30" t="n"/>
      <c r="G21" s="23">
        <f>IFERROR(AVERAGE(C21:F21),"")</f>
        <v/>
      </c>
      <c r="H21" s="26" t="n">
        <v>69</v>
      </c>
    </row>
    <row r="22" ht="17" customHeight="1">
      <c r="A22" s="28" t="inlineStr">
        <is>
          <t>CREW</t>
        </is>
      </c>
      <c r="B22" s="29" t="inlineStr">
        <is>
          <t>Javeh Goodman</t>
        </is>
      </c>
      <c r="C22" s="24" t="n">
        <v>100</v>
      </c>
      <c r="D22" s="30" t="n"/>
      <c r="E22" s="22" t="n">
        <v>34</v>
      </c>
      <c r="F22" s="22" t="n">
        <v>43</v>
      </c>
      <c r="G22" s="23">
        <f>IFERROR(AVERAGE(C22:F22),"")</f>
        <v/>
      </c>
      <c r="H22" s="26" t="n">
        <v>23</v>
      </c>
    </row>
    <row r="23" ht="17" customHeight="1">
      <c r="A23" s="28" t="inlineStr">
        <is>
          <t>CREW</t>
        </is>
      </c>
      <c r="B23" s="29" t="inlineStr">
        <is>
          <t>Lidy Henry</t>
        </is>
      </c>
      <c r="C23" s="30" t="n"/>
      <c r="D23" s="24" t="n">
        <v>100</v>
      </c>
      <c r="E23" s="30" t="n"/>
      <c r="F23" s="30" t="n"/>
      <c r="G23" s="23">
        <f>IFERROR(AVERAGE(C23:F23),"")</f>
        <v/>
      </c>
      <c r="H23" s="26" t="n">
        <v>46</v>
      </c>
    </row>
    <row r="24" ht="17" customHeight="1">
      <c r="A24" s="28" t="inlineStr">
        <is>
          <t>CREW</t>
        </is>
      </c>
      <c r="B24" s="29" t="inlineStr">
        <is>
          <t>Mykenize Milledge</t>
        </is>
      </c>
      <c r="C24" s="24" t="n">
        <v>100</v>
      </c>
      <c r="D24" s="30" t="n"/>
      <c r="E24" s="22" t="n">
        <v>34</v>
      </c>
      <c r="F24" s="30" t="n"/>
      <c r="G24" s="23">
        <f>IFERROR(AVERAGE(C24:F24),"")</f>
        <v/>
      </c>
      <c r="H24" s="26" t="n">
        <v>23</v>
      </c>
    </row>
    <row r="25" ht="17" customHeight="1">
      <c r="A25" s="28" t="inlineStr">
        <is>
          <t>CREW</t>
        </is>
      </c>
      <c r="B25" s="29" t="inlineStr">
        <is>
          <t>Zack Whitten</t>
        </is>
      </c>
      <c r="C25" s="24" t="n">
        <v>100</v>
      </c>
      <c r="D25" s="24" t="n">
        <v>100</v>
      </c>
      <c r="E25" s="30" t="n"/>
      <c r="F25" s="30" t="n"/>
      <c r="G25" s="23">
        <f>IFERROR(AVERAGE(C25:F25),"")</f>
        <v/>
      </c>
      <c r="H25" s="26" t="n">
        <v>69</v>
      </c>
    </row>
    <row r="26" ht="12" customHeight="1">
      <c r="A26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26:H26"/>
    <mergeCell ref="A11:B11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6" t="inlineStr">
        <is>
          <t>10/26</t>
        </is>
      </c>
      <c r="G3" s="6" t="inlineStr">
        <is>
          <t>10/27</t>
        </is>
      </c>
      <c r="H3" s="6" t="inlineStr">
        <is>
          <t>10/28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11" t="n">
        <v>92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Alexandra Campbell</t>
        </is>
      </c>
      <c r="C12" s="21" t="n"/>
      <c r="D12" s="21" t="n"/>
      <c r="E12" s="21" t="n"/>
      <c r="F12" s="21" t="n"/>
      <c r="G12" s="24" t="n">
        <v>100</v>
      </c>
      <c r="H12" s="21" t="n"/>
      <c r="I12" s="23">
        <f>IFERROR(AVERAGE(C12:H12),"")</f>
        <v/>
      </c>
      <c r="J12" s="26" t="n">
        <v>46</v>
      </c>
    </row>
    <row r="13" ht="17" customHeight="1">
      <c r="A13" s="19" t="inlineStr">
        <is>
          <t>Manager</t>
        </is>
      </c>
      <c r="B13" s="20" t="inlineStr">
        <is>
          <t>Anthony Pirtle</t>
        </is>
      </c>
      <c r="C13" s="27" t="n">
        <v>92</v>
      </c>
      <c r="D13" s="24" t="n">
        <v>100</v>
      </c>
      <c r="E13" s="21" t="n"/>
      <c r="F13" s="27" t="n">
        <v>92</v>
      </c>
      <c r="G13" s="21" t="n"/>
      <c r="H13" s="21" t="n"/>
      <c r="I13" s="23">
        <f>IFERROR(AVERAGE(C13:H13),"")</f>
        <v/>
      </c>
      <c r="J13" s="26" t="n">
        <v>28.75</v>
      </c>
    </row>
    <row r="14" ht="17" customHeight="1">
      <c r="A14" s="19" t="inlineStr">
        <is>
          <t>Manager</t>
        </is>
      </c>
      <c r="B14" s="20" t="inlineStr">
        <is>
          <t>Cortez Brown</t>
        </is>
      </c>
      <c r="C14" s="27" t="n">
        <v>92</v>
      </c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46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1" t="n"/>
      <c r="D15" s="24" t="n">
        <v>100</v>
      </c>
      <c r="E15" s="27" t="n">
        <v>95</v>
      </c>
      <c r="F15" s="21" t="n"/>
      <c r="G15" s="24" t="n">
        <v>100</v>
      </c>
      <c r="H15" s="24" t="n">
        <v>100</v>
      </c>
      <c r="I15" s="23">
        <f>IFERROR(AVERAGE(C15:H15),"")</f>
        <v/>
      </c>
      <c r="J15" s="26" t="n">
        <v>120.75</v>
      </c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7" t="n">
        <v>92</v>
      </c>
      <c r="D16" s="21" t="n"/>
      <c r="E16" s="21" t="n"/>
      <c r="F16" s="27" t="n">
        <v>92</v>
      </c>
      <c r="G16" s="21" t="n"/>
      <c r="H16" s="21" t="n"/>
      <c r="I16" s="23">
        <f>IFERROR(AVERAGE(C16:H16),"")</f>
        <v/>
      </c>
      <c r="J16" s="21" t="n"/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1" t="n"/>
      <c r="D17" s="24" t="n">
        <v>100</v>
      </c>
      <c r="E17" s="27" t="n">
        <v>95</v>
      </c>
      <c r="F17" s="27" t="n">
        <v>92</v>
      </c>
      <c r="G17" s="21" t="n"/>
      <c r="H17" s="24" t="n">
        <v>100</v>
      </c>
      <c r="I17" s="23">
        <f>IFERROR(AVERAGE(C17:H17),"")</f>
        <v/>
      </c>
      <c r="J17" s="26" t="n">
        <v>74.75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4" t="n">
        <v>100</v>
      </c>
      <c r="E18" s="21" t="n"/>
      <c r="F18" s="21" t="n"/>
      <c r="G18" s="21" t="n"/>
      <c r="H18" s="21" t="n"/>
      <c r="I18" s="23">
        <f>IFERROR(AVERAGE(C18:H18),"")</f>
        <v/>
      </c>
      <c r="J18" s="26" t="n">
        <v>28.75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7" t="n">
        <v>92</v>
      </c>
      <c r="D19" s="21" t="n"/>
      <c r="E19" s="21" t="n"/>
      <c r="F19" s="21" t="n"/>
      <c r="G19" s="21" t="n"/>
      <c r="H19" s="24" t="n">
        <v>100</v>
      </c>
      <c r="I19" s="23">
        <f>IFERROR(AVERAGE(C19:H19),"")</f>
        <v/>
      </c>
      <c r="J19" s="26" t="n">
        <v>46</v>
      </c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24" t="n">
        <v>100</v>
      </c>
      <c r="E20" s="30" t="n"/>
      <c r="F20" s="27" t="n">
        <v>92</v>
      </c>
      <c r="G20" s="30" t="n"/>
      <c r="H20" s="30" t="n"/>
      <c r="I20" s="23">
        <f>IFERROR(AVERAGE(C20:H20),"")</f>
        <v/>
      </c>
      <c r="J20" s="26" t="n">
        <v>28.75</v>
      </c>
    </row>
    <row r="21" ht="17" customHeight="1">
      <c r="A21" s="28" t="inlineStr">
        <is>
          <t>CREW</t>
        </is>
      </c>
      <c r="B21" s="29" t="inlineStr">
        <is>
          <t>Elizabeth Brazell</t>
        </is>
      </c>
      <c r="C21" s="27" t="n">
        <v>92</v>
      </c>
      <c r="D21" s="30" t="n"/>
      <c r="E21" s="30" t="n"/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27" t="n">
        <v>92</v>
      </c>
      <c r="D22" s="30" t="n"/>
      <c r="E22" s="30" t="n"/>
      <c r="F22" s="27" t="n">
        <v>92</v>
      </c>
      <c r="G22" s="24" t="n">
        <v>100</v>
      </c>
      <c r="H22" s="30" t="n"/>
      <c r="I22" s="23">
        <f>IFERROR(AVERAGE(C22:H22),"")</f>
        <v/>
      </c>
      <c r="J22" s="26" t="n">
        <v>46</v>
      </c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30" t="n"/>
      <c r="D23" s="24" t="n">
        <v>100</v>
      </c>
      <c r="E23" s="27" t="n">
        <v>95</v>
      </c>
      <c r="F23" s="30" t="n"/>
      <c r="G23" s="30" t="n"/>
      <c r="H23" s="30" t="n"/>
      <c r="I23" s="23">
        <f>IFERROR(AVERAGE(C23:H23),"")</f>
        <v/>
      </c>
      <c r="J23" s="26" t="n">
        <v>28.75</v>
      </c>
    </row>
    <row r="24" ht="17" customHeight="1">
      <c r="A24" s="28" t="inlineStr">
        <is>
          <t>CREW</t>
        </is>
      </c>
      <c r="B24" s="29" t="inlineStr">
        <is>
          <t>Javeh Goodman</t>
        </is>
      </c>
      <c r="C24" s="30" t="n"/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28.75</v>
      </c>
    </row>
    <row r="25" ht="17" customHeight="1">
      <c r="A25" s="28" t="inlineStr">
        <is>
          <t>CREW</t>
        </is>
      </c>
      <c r="B25" s="29" t="inlineStr">
        <is>
          <t>Katherine Valentin</t>
        </is>
      </c>
      <c r="C25" s="30" t="n"/>
      <c r="D25" s="24" t="n">
        <v>100</v>
      </c>
      <c r="E25" s="30" t="n"/>
      <c r="F25" s="30" t="n"/>
      <c r="G25" s="24" t="n">
        <v>100</v>
      </c>
      <c r="H25" s="30" t="n"/>
      <c r="I25" s="23">
        <f>IFERROR(AVERAGE(C25:H25),"")</f>
        <v/>
      </c>
      <c r="J25" s="26" t="n">
        <v>74.75</v>
      </c>
    </row>
    <row r="26" ht="17" customHeight="1">
      <c r="A26" s="28" t="inlineStr">
        <is>
          <t>CREW</t>
        </is>
      </c>
      <c r="B26" s="29" t="inlineStr">
        <is>
          <t>Lidy Henry</t>
        </is>
      </c>
      <c r="C26" s="30" t="n"/>
      <c r="D26" s="30" t="n"/>
      <c r="E26" s="30" t="n"/>
      <c r="F26" s="30" t="n"/>
      <c r="G26" s="30" t="n"/>
      <c r="H26" s="24" t="n">
        <v>100</v>
      </c>
      <c r="I26" s="23">
        <f>IFERROR(AVERAGE(C26:H26),"")</f>
        <v/>
      </c>
      <c r="J26" s="26" t="n">
        <v>46</v>
      </c>
    </row>
    <row r="27" ht="17" customHeight="1">
      <c r="A27" s="28" t="inlineStr">
        <is>
          <t>CREW</t>
        </is>
      </c>
      <c r="B27" s="29" t="inlineStr">
        <is>
          <t>Mykenize Milledge</t>
        </is>
      </c>
      <c r="C27" s="30" t="n"/>
      <c r="D27" s="30" t="n"/>
      <c r="E27" s="30" t="n"/>
      <c r="F27" s="27" t="n">
        <v>92</v>
      </c>
      <c r="G27" s="24" t="n">
        <v>100</v>
      </c>
      <c r="H27" s="30" t="n"/>
      <c r="I27" s="23">
        <f>IFERROR(AVERAGE(C27:H27),"")</f>
        <v/>
      </c>
      <c r="J27" s="26" t="n">
        <v>46</v>
      </c>
    </row>
    <row r="28" ht="17" customHeight="1">
      <c r="A28" s="28" t="inlineStr">
        <is>
          <t>CREW</t>
        </is>
      </c>
      <c r="B28" s="29" t="inlineStr">
        <is>
          <t>Rodolfo Trujillo</t>
        </is>
      </c>
      <c r="C28" s="30" t="n"/>
      <c r="D28" s="30" t="n"/>
      <c r="E28" s="30" t="n"/>
      <c r="F28" s="27" t="n">
        <v>92</v>
      </c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92</v>
      </c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Q1 2026 (Jan–Mar)</t>
        </is>
      </c>
    </row>
    <row r="2">
      <c r="A2" s="32" t="inlineStr">
        <is>
          <t>Store 2065 — 19 shops · avg 81.4%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Robert Cline</t>
        </is>
      </c>
      <c r="C5" s="33" t="n">
        <v>13</v>
      </c>
      <c r="D5" s="33" t="n">
        <v>5</v>
      </c>
      <c r="E5" s="34" t="n">
        <v>80.8</v>
      </c>
      <c r="F5" s="33" t="n">
        <v>100</v>
      </c>
      <c r="G5" s="33" t="n">
        <v>0</v>
      </c>
      <c r="H5" s="35" t="n">
        <v>164.83</v>
      </c>
    </row>
    <row r="6">
      <c r="A6" s="33" t="inlineStr">
        <is>
          <t>Manager</t>
        </is>
      </c>
      <c r="B6" s="20" t="inlineStr">
        <is>
          <t>Madison Cureton</t>
        </is>
      </c>
      <c r="C6" s="33" t="n">
        <v>12</v>
      </c>
      <c r="D6" s="33" t="n">
        <v>5</v>
      </c>
      <c r="E6" s="36" t="n">
        <v>79.40000000000001</v>
      </c>
      <c r="F6" s="33" t="n">
        <v>100</v>
      </c>
      <c r="G6" s="33" t="n">
        <v>0</v>
      </c>
      <c r="H6" s="35" t="n">
        <v>138.91</v>
      </c>
    </row>
    <row r="7">
      <c r="A7" s="33" t="inlineStr">
        <is>
          <t>Manager</t>
        </is>
      </c>
      <c r="B7" s="20" t="inlineStr">
        <is>
          <t>Michael Ruth</t>
        </is>
      </c>
      <c r="C7" s="33" t="n">
        <v>9</v>
      </c>
      <c r="D7" s="33" t="n">
        <v>2</v>
      </c>
      <c r="E7" s="34" t="n">
        <v>85.90000000000001</v>
      </c>
      <c r="F7" s="33" t="n">
        <v>100</v>
      </c>
      <c r="G7" s="33" t="n">
        <v>69</v>
      </c>
      <c r="H7" s="35" t="n">
        <v>67.08</v>
      </c>
    </row>
    <row r="8">
      <c r="A8" s="33" t="inlineStr">
        <is>
          <t>Manager</t>
        </is>
      </c>
      <c r="B8" s="20" t="inlineStr">
        <is>
          <t>Kasey Wilson</t>
        </is>
      </c>
      <c r="C8" s="33" t="n">
        <v>6</v>
      </c>
      <c r="D8" s="33" t="n">
        <v>1</v>
      </c>
      <c r="E8" s="36" t="n">
        <v>70.7</v>
      </c>
      <c r="F8" s="33" t="n">
        <v>100</v>
      </c>
      <c r="G8" s="33" t="n">
        <v>0</v>
      </c>
      <c r="H8" s="35" t="n">
        <v>25.56</v>
      </c>
    </row>
    <row r="9">
      <c r="A9" s="33" t="inlineStr">
        <is>
          <t>Manager</t>
        </is>
      </c>
      <c r="B9" s="20" t="inlineStr">
        <is>
          <t>Vicki Lucey</t>
        </is>
      </c>
      <c r="C9" s="33" t="n">
        <v>6</v>
      </c>
      <c r="D9" s="33" t="n">
        <v>4</v>
      </c>
      <c r="E9" s="37" t="n">
        <v>90.2</v>
      </c>
      <c r="F9" s="33" t="n">
        <v>100</v>
      </c>
      <c r="G9" s="33" t="n">
        <v>69</v>
      </c>
      <c r="H9" s="35" t="n">
        <v>136.08</v>
      </c>
    </row>
    <row r="10">
      <c r="A10" s="33" t="inlineStr">
        <is>
          <t>Manager</t>
        </is>
      </c>
      <c r="B10" s="20" t="inlineStr">
        <is>
          <t>Alissa Baungardner</t>
        </is>
      </c>
      <c r="C10" s="33" t="n">
        <v>1</v>
      </c>
      <c r="D10" s="33" t="n">
        <v>0</v>
      </c>
      <c r="E10" s="36" t="n">
        <v>0</v>
      </c>
      <c r="F10" s="33" t="n">
        <v>0</v>
      </c>
      <c r="G10" s="33" t="n">
        <v>0</v>
      </c>
      <c r="H10" s="35" t="n">
        <v>0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14</v>
      </c>
      <c r="D13" s="38" t="n">
        <v>5</v>
      </c>
      <c r="E13" s="34" t="n">
        <v>80.09999999999999</v>
      </c>
      <c r="F13" s="38" t="n">
        <v>100</v>
      </c>
      <c r="G13" s="38" t="n">
        <v>0</v>
      </c>
      <c r="H13" s="40" t="n">
        <v>164.83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13</v>
      </c>
      <c r="D14" s="38" t="n">
        <v>6</v>
      </c>
      <c r="E14" s="34" t="n">
        <v>83.2</v>
      </c>
      <c r="F14" s="38" t="n">
        <v>100</v>
      </c>
      <c r="G14" s="38" t="n">
        <v>0</v>
      </c>
      <c r="H14" s="40" t="n">
        <v>197.69</v>
      </c>
    </row>
    <row r="15">
      <c r="A15" s="38" t="inlineStr">
        <is>
          <t>Crew</t>
        </is>
      </c>
      <c r="B15" s="39" t="inlineStr">
        <is>
          <t>Maylin Hernandez Rodriguez</t>
        </is>
      </c>
      <c r="C15" s="38" t="n">
        <v>9</v>
      </c>
      <c r="D15" s="38" t="n">
        <v>3</v>
      </c>
      <c r="E15" s="36" t="n">
        <v>71.7</v>
      </c>
      <c r="F15" s="38" t="n">
        <v>100</v>
      </c>
      <c r="G15" s="38" t="n">
        <v>0</v>
      </c>
      <c r="H15" s="40" t="n">
        <v>77.31</v>
      </c>
    </row>
    <row r="16">
      <c r="A16" s="38" t="inlineStr">
        <is>
          <t>Crew</t>
        </is>
      </c>
      <c r="B16" s="39" t="inlineStr">
        <is>
          <t>Jeremiah Matthews</t>
        </is>
      </c>
      <c r="C16" s="38" t="n">
        <v>8</v>
      </c>
      <c r="D16" s="38" t="n">
        <v>2</v>
      </c>
      <c r="E16" s="34" t="n">
        <v>84.09999999999999</v>
      </c>
      <c r="F16" s="38" t="n">
        <v>100</v>
      </c>
      <c r="G16" s="38" t="n">
        <v>69</v>
      </c>
      <c r="H16" s="40" t="n">
        <v>54.31</v>
      </c>
    </row>
    <row r="17">
      <c r="A17" s="38" t="inlineStr">
        <is>
          <t>Crew</t>
        </is>
      </c>
      <c r="B17" s="39" t="inlineStr">
        <is>
          <t>Kaisha Brewer</t>
        </is>
      </c>
      <c r="C17" s="38" t="n">
        <v>7</v>
      </c>
      <c r="D17" s="38" t="n">
        <v>3</v>
      </c>
      <c r="E17" s="37" t="n">
        <v>92.40000000000001</v>
      </c>
      <c r="F17" s="38" t="n">
        <v>100</v>
      </c>
      <c r="G17" s="38" t="n">
        <v>80</v>
      </c>
      <c r="H17" s="40" t="n">
        <v>113.08</v>
      </c>
    </row>
    <row r="18">
      <c r="A18" s="38" t="inlineStr">
        <is>
          <t>Crew</t>
        </is>
      </c>
      <c r="B18" s="39" t="inlineStr">
        <is>
          <t>Samuel Galban Rocha</t>
        </is>
      </c>
      <c r="C18" s="38" t="n">
        <v>7</v>
      </c>
      <c r="D18" s="38" t="n">
        <v>3</v>
      </c>
      <c r="E18" s="36" t="n">
        <v>74.90000000000001</v>
      </c>
      <c r="F18" s="38" t="n">
        <v>100</v>
      </c>
      <c r="G18" s="38" t="n">
        <v>0</v>
      </c>
      <c r="H18" s="40" t="n">
        <v>81.41</v>
      </c>
    </row>
    <row r="19">
      <c r="A19" s="38" t="inlineStr">
        <is>
          <t>Crew</t>
        </is>
      </c>
      <c r="B19" s="39" t="inlineStr">
        <is>
          <t>DJuan Johnson</t>
        </is>
      </c>
      <c r="C19" s="38" t="n">
        <v>6</v>
      </c>
      <c r="D19" s="38" t="n">
        <v>2</v>
      </c>
      <c r="E19" s="34" t="n">
        <v>82.7</v>
      </c>
      <c r="F19" s="38" t="n">
        <v>100</v>
      </c>
      <c r="G19" s="38" t="n">
        <v>72</v>
      </c>
      <c r="H19" s="40" t="n">
        <v>48.56</v>
      </c>
    </row>
    <row r="20">
      <c r="A20" s="38" t="inlineStr">
        <is>
          <t>Crew</t>
        </is>
      </c>
      <c r="B20" s="39" t="inlineStr">
        <is>
          <t>Jada Cox</t>
        </is>
      </c>
      <c r="C20" s="38" t="n">
        <v>6</v>
      </c>
      <c r="D20" s="38" t="n">
        <v>2</v>
      </c>
      <c r="E20" s="36" t="n">
        <v>69.3</v>
      </c>
      <c r="F20" s="38" t="n">
        <v>100</v>
      </c>
      <c r="G20" s="38" t="n">
        <v>0</v>
      </c>
      <c r="H20" s="40" t="n">
        <v>54.31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5</v>
      </c>
      <c r="D21" s="38" t="n">
        <v>2</v>
      </c>
      <c r="E21" s="34" t="n">
        <v>80.2</v>
      </c>
      <c r="F21" s="38" t="n">
        <v>100</v>
      </c>
      <c r="G21" s="38" t="n">
        <v>49</v>
      </c>
      <c r="H21" s="40" t="n">
        <v>55.86</v>
      </c>
    </row>
    <row r="22">
      <c r="A22" s="38" t="inlineStr">
        <is>
          <t>Crew</t>
        </is>
      </c>
      <c r="B22" s="39" t="inlineStr">
        <is>
          <t>Autumn Hearn</t>
        </is>
      </c>
      <c r="C22" s="38" t="n">
        <v>5</v>
      </c>
      <c r="D22" s="38" t="n">
        <v>1</v>
      </c>
      <c r="E22" s="36" t="n">
        <v>79.2</v>
      </c>
      <c r="F22" s="38" t="n">
        <v>100</v>
      </c>
      <c r="G22" s="38" t="n">
        <v>49</v>
      </c>
      <c r="H22" s="40" t="n">
        <v>32.86</v>
      </c>
    </row>
    <row r="23">
      <c r="A23" s="38" t="inlineStr">
        <is>
          <t>Crew</t>
        </is>
      </c>
      <c r="B23" s="39" t="inlineStr">
        <is>
          <t>Ashton Seadler-Wathen</t>
        </is>
      </c>
      <c r="C23" s="38" t="n">
        <v>4</v>
      </c>
      <c r="D23" s="38" t="n">
        <v>1</v>
      </c>
      <c r="E23" s="34" t="n">
        <v>86</v>
      </c>
      <c r="F23" s="38" t="n">
        <v>100</v>
      </c>
      <c r="G23" s="38" t="n">
        <v>72</v>
      </c>
      <c r="H23" s="40" t="n">
        <v>32.86</v>
      </c>
    </row>
    <row r="24">
      <c r="A24" s="38" t="inlineStr">
        <is>
          <t>Crew</t>
        </is>
      </c>
      <c r="B24" s="39" t="inlineStr">
        <is>
          <t>Akur Alier</t>
        </is>
      </c>
      <c r="C24" s="38" t="n">
        <v>2</v>
      </c>
      <c r="D24" s="38" t="n">
        <v>1</v>
      </c>
      <c r="E24" s="37" t="n">
        <v>92.5</v>
      </c>
      <c r="F24" s="38" t="n">
        <v>100</v>
      </c>
      <c r="G24" s="38" t="n">
        <v>85</v>
      </c>
      <c r="H24" s="40" t="n">
        <v>28.75</v>
      </c>
    </row>
    <row r="25">
      <c r="A25" s="38" t="inlineStr">
        <is>
          <t>Crew</t>
        </is>
      </c>
      <c r="B25" s="39" t="inlineStr">
        <is>
          <t>Brianna Gatewood</t>
        </is>
      </c>
      <c r="C25" s="38" t="n">
        <v>2</v>
      </c>
      <c r="D25" s="38" t="n">
        <v>1</v>
      </c>
      <c r="E25" s="34" t="n">
        <v>86</v>
      </c>
      <c r="F25" s="38" t="n">
        <v>100</v>
      </c>
      <c r="G25" s="38" t="n">
        <v>72</v>
      </c>
      <c r="H25" s="40" t="n">
        <v>32.86</v>
      </c>
    </row>
    <row r="26">
      <c r="A26" s="38" t="inlineStr">
        <is>
          <t>Crew</t>
        </is>
      </c>
      <c r="B26" s="39" t="inlineStr">
        <is>
          <t>Kable Hunt Jr</t>
        </is>
      </c>
      <c r="C26" s="38" t="n">
        <v>2</v>
      </c>
      <c r="D26" s="38" t="n">
        <v>1</v>
      </c>
      <c r="E26" s="37" t="n">
        <v>97.5</v>
      </c>
      <c r="F26" s="38" t="n">
        <v>100</v>
      </c>
      <c r="G26" s="38" t="n">
        <v>95</v>
      </c>
      <c r="H26" s="40" t="n">
        <v>25.56</v>
      </c>
    </row>
    <row r="27">
      <c r="A27" s="38" t="inlineStr">
        <is>
          <t>Crew</t>
        </is>
      </c>
      <c r="B27" s="39" t="inlineStr">
        <is>
          <t>Robert Muncy Jr</t>
        </is>
      </c>
      <c r="C27" s="38" t="n">
        <v>2</v>
      </c>
      <c r="D27" s="38" t="n">
        <v>1</v>
      </c>
      <c r="E27" s="36" t="n">
        <v>74.5</v>
      </c>
      <c r="F27" s="38" t="n">
        <v>100</v>
      </c>
      <c r="G27" s="38" t="n">
        <v>49</v>
      </c>
      <c r="H27" s="40" t="n">
        <v>25.56</v>
      </c>
    </row>
    <row r="28">
      <c r="A28" s="38" t="inlineStr">
        <is>
          <t>Crew</t>
        </is>
      </c>
      <c r="B28" s="39" t="inlineStr">
        <is>
          <t>Kelly Hamilton</t>
        </is>
      </c>
      <c r="C28" s="38" t="n">
        <v>1</v>
      </c>
      <c r="D28" s="38" t="n">
        <v>1</v>
      </c>
      <c r="E28" s="41" t="n">
        <v>100</v>
      </c>
      <c r="F28" s="38" t="n">
        <v>100</v>
      </c>
      <c r="G28" s="38" t="n">
        <v>100</v>
      </c>
      <c r="H28" s="40" t="n">
        <v>23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6" t="n">
        <v>72</v>
      </c>
      <c r="F29" s="38" t="n">
        <v>72</v>
      </c>
      <c r="G29" s="38" t="n">
        <v>72</v>
      </c>
      <c r="H29" s="40" t="n">
        <v>0</v>
      </c>
    </row>
    <row r="30">
      <c r="A30" s="38" t="inlineStr">
        <is>
          <t>Crew</t>
        </is>
      </c>
      <c r="B30" s="39" t="inlineStr">
        <is>
          <t>Nathan Roberts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28.75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Q2 2026 (Apr–Jun)</t>
        </is>
      </c>
    </row>
    <row r="2">
      <c r="A2" s="32" t="inlineStr">
        <is>
          <t>Store 2065 — 18 shops · avg 89.4%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10</v>
      </c>
      <c r="D5" s="33" t="n">
        <v>5</v>
      </c>
      <c r="E5" s="37" t="n">
        <v>90.7</v>
      </c>
      <c r="F5" s="33" t="n">
        <v>100</v>
      </c>
      <c r="G5" s="33" t="n">
        <v>60</v>
      </c>
      <c r="H5" s="35" t="n">
        <v>155.52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9</v>
      </c>
      <c r="D6" s="33" t="n">
        <v>3</v>
      </c>
      <c r="E6" s="34" t="n">
        <v>85.3</v>
      </c>
      <c r="F6" s="33" t="n">
        <v>100</v>
      </c>
      <c r="G6" s="33" t="n">
        <v>47</v>
      </c>
      <c r="H6" s="35" t="n">
        <v>84.33</v>
      </c>
    </row>
    <row r="7">
      <c r="A7" s="33" t="inlineStr">
        <is>
          <t>Manager</t>
        </is>
      </c>
      <c r="B7" s="20" t="inlineStr">
        <is>
          <t>Vicki Lucey</t>
        </is>
      </c>
      <c r="C7" s="33" t="n">
        <v>8</v>
      </c>
      <c r="D7" s="33" t="n">
        <v>3</v>
      </c>
      <c r="E7" s="34" t="n">
        <v>85.5</v>
      </c>
      <c r="F7" s="33" t="n">
        <v>100</v>
      </c>
      <c r="G7" s="33" t="n">
        <v>47</v>
      </c>
      <c r="H7" s="35" t="n">
        <v>117.19</v>
      </c>
    </row>
    <row r="8">
      <c r="A8" s="33" t="inlineStr">
        <is>
          <t>Manager</t>
        </is>
      </c>
      <c r="B8" s="20" t="inlineStr">
        <is>
          <t>Nathan Roberts</t>
        </is>
      </c>
      <c r="C8" s="33" t="n">
        <v>6</v>
      </c>
      <c r="D8" s="33" t="n">
        <v>1</v>
      </c>
      <c r="E8" s="37" t="n">
        <v>94.3</v>
      </c>
      <c r="F8" s="33" t="n">
        <v>100</v>
      </c>
      <c r="G8" s="33" t="n">
        <v>87</v>
      </c>
      <c r="H8" s="35" t="n">
        <v>28.75</v>
      </c>
    </row>
    <row r="9">
      <c r="A9" s="33" t="inlineStr">
        <is>
          <t>Manager</t>
        </is>
      </c>
      <c r="B9" s="20" t="inlineStr">
        <is>
          <t>Kasey Wilson</t>
        </is>
      </c>
      <c r="C9" s="33" t="n">
        <v>5</v>
      </c>
      <c r="D9" s="33" t="n">
        <v>1</v>
      </c>
      <c r="E9" s="37" t="n">
        <v>93.2</v>
      </c>
      <c r="F9" s="33" t="n">
        <v>100</v>
      </c>
      <c r="G9" s="33" t="n">
        <v>87</v>
      </c>
      <c r="H9" s="35" t="n">
        <v>28.75</v>
      </c>
    </row>
    <row r="10">
      <c r="A10" s="33" t="inlineStr">
        <is>
          <t>Manager</t>
        </is>
      </c>
      <c r="B10" s="20" t="inlineStr">
        <is>
          <t>Madelynn Smith</t>
        </is>
      </c>
      <c r="C10" s="33" t="n">
        <v>2</v>
      </c>
      <c r="D10" s="33" t="n">
        <v>1</v>
      </c>
      <c r="E10" s="37" t="n">
        <v>90</v>
      </c>
      <c r="F10" s="33" t="n">
        <v>100</v>
      </c>
      <c r="G10" s="33" t="n">
        <v>80</v>
      </c>
      <c r="H10" s="35" t="n">
        <v>38.33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11</v>
      </c>
      <c r="D13" s="38" t="n">
        <v>3</v>
      </c>
      <c r="E13" s="34" t="n">
        <v>84.8</v>
      </c>
      <c r="F13" s="38" t="n">
        <v>100</v>
      </c>
      <c r="G13" s="38" t="n">
        <v>47</v>
      </c>
      <c r="H13" s="40" t="n">
        <v>84.33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11</v>
      </c>
      <c r="D14" s="38" t="n">
        <v>3</v>
      </c>
      <c r="E14" s="34" t="n">
        <v>87.5</v>
      </c>
      <c r="F14" s="38" t="n">
        <v>100</v>
      </c>
      <c r="G14" s="38" t="n">
        <v>47</v>
      </c>
      <c r="H14" s="40" t="n">
        <v>113.08</v>
      </c>
    </row>
    <row r="15">
      <c r="A15" s="38" t="inlineStr">
        <is>
          <t>Crew</t>
        </is>
      </c>
      <c r="B15" s="39" t="inlineStr">
        <is>
          <t>Jeremiah Matthews</t>
        </is>
      </c>
      <c r="C15" s="38" t="n">
        <v>9</v>
      </c>
      <c r="D15" s="38" t="n">
        <v>1</v>
      </c>
      <c r="E15" s="34" t="n">
        <v>89.8</v>
      </c>
      <c r="F15" s="38" t="n">
        <v>100</v>
      </c>
      <c r="G15" s="38" t="n">
        <v>75</v>
      </c>
      <c r="H15" s="40" t="n">
        <v>23</v>
      </c>
    </row>
    <row r="16">
      <c r="A16" s="38" t="inlineStr">
        <is>
          <t>Crew</t>
        </is>
      </c>
      <c r="B16" s="39" t="inlineStr">
        <is>
          <t>Maylin Hernandez Rodriguez</t>
        </is>
      </c>
      <c r="C16" s="38" t="n">
        <v>9</v>
      </c>
      <c r="D16" s="38" t="n">
        <v>5</v>
      </c>
      <c r="E16" s="37" t="n">
        <v>92.09999999999999</v>
      </c>
      <c r="F16" s="38" t="n">
        <v>100</v>
      </c>
      <c r="G16" s="38" t="n">
        <v>60</v>
      </c>
      <c r="H16" s="40" t="n">
        <v>145.94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8</v>
      </c>
      <c r="D17" s="38" t="n">
        <v>2</v>
      </c>
      <c r="E17" s="34" t="n">
        <v>87.09999999999999</v>
      </c>
      <c r="F17" s="38" t="n">
        <v>100</v>
      </c>
      <c r="G17" s="38" t="n">
        <v>60</v>
      </c>
      <c r="H17" s="40" t="n">
        <v>69</v>
      </c>
    </row>
    <row r="18">
      <c r="A18" s="38" t="inlineStr">
        <is>
          <t>Crew</t>
        </is>
      </c>
      <c r="B18" s="39" t="inlineStr">
        <is>
          <t>Richard Gibbs</t>
        </is>
      </c>
      <c r="C18" s="38" t="n">
        <v>7</v>
      </c>
      <c r="D18" s="38" t="n">
        <v>2</v>
      </c>
      <c r="E18" s="34" t="n">
        <v>86.59999999999999</v>
      </c>
      <c r="F18" s="38" t="n">
        <v>100</v>
      </c>
      <c r="G18" s="38" t="n">
        <v>47</v>
      </c>
      <c r="H18" s="40" t="n">
        <v>51.75</v>
      </c>
    </row>
    <row r="19">
      <c r="A19" s="38" t="inlineStr">
        <is>
          <t>Crew</t>
        </is>
      </c>
      <c r="B19" s="39" t="inlineStr">
        <is>
          <t>Ailen Gonzalez Cardero</t>
        </is>
      </c>
      <c r="C19" s="38" t="n">
        <v>6</v>
      </c>
      <c r="D19" s="38" t="n">
        <v>4</v>
      </c>
      <c r="E19" s="37" t="n">
        <v>96.2</v>
      </c>
      <c r="F19" s="38" t="n">
        <v>100</v>
      </c>
      <c r="G19" s="38" t="n">
        <v>80</v>
      </c>
      <c r="H19" s="40" t="n">
        <v>113.08</v>
      </c>
    </row>
    <row r="20">
      <c r="A20" s="38" t="inlineStr">
        <is>
          <t>Crew</t>
        </is>
      </c>
      <c r="B20" s="39" t="inlineStr">
        <is>
          <t>Anthony Pirtle</t>
        </is>
      </c>
      <c r="C20" s="38" t="n">
        <v>6</v>
      </c>
      <c r="D20" s="38" t="n">
        <v>3</v>
      </c>
      <c r="E20" s="34" t="n">
        <v>85.8</v>
      </c>
      <c r="F20" s="38" t="n">
        <v>100</v>
      </c>
      <c r="G20" s="38" t="n">
        <v>60</v>
      </c>
      <c r="H20" s="40" t="n">
        <v>94.19</v>
      </c>
    </row>
    <row r="21">
      <c r="A21" s="38" t="inlineStr">
        <is>
          <t>Crew</t>
        </is>
      </c>
      <c r="B21" s="39" t="inlineStr">
        <is>
          <t>Emanuela Kamara</t>
        </is>
      </c>
      <c r="C21" s="38" t="n">
        <v>6</v>
      </c>
      <c r="D21" s="38" t="n">
        <v>2</v>
      </c>
      <c r="E21" s="37" t="n">
        <v>92.3</v>
      </c>
      <c r="F21" s="38" t="n">
        <v>100</v>
      </c>
      <c r="G21" s="38" t="n">
        <v>80</v>
      </c>
      <c r="H21" s="40" t="n">
        <v>71.19</v>
      </c>
    </row>
    <row r="22">
      <c r="A22" s="38" t="inlineStr">
        <is>
          <t>Crew</t>
        </is>
      </c>
      <c r="B22" s="39" t="inlineStr">
        <is>
          <t>Kaisha Brewer</t>
        </is>
      </c>
      <c r="C22" s="38" t="n">
        <v>5</v>
      </c>
      <c r="D22" s="38" t="n">
        <v>3</v>
      </c>
      <c r="E22" s="34" t="n">
        <v>86.8</v>
      </c>
      <c r="F22" s="38" t="n">
        <v>100</v>
      </c>
      <c r="G22" s="38" t="n">
        <v>47</v>
      </c>
      <c r="H22" s="40" t="n">
        <v>107.33</v>
      </c>
    </row>
    <row r="23">
      <c r="A23" s="38" t="inlineStr">
        <is>
          <t>Crew</t>
        </is>
      </c>
      <c r="B23" s="39" t="inlineStr">
        <is>
          <t>Autumn Hearn</t>
        </is>
      </c>
      <c r="C23" s="38" t="n">
        <v>4</v>
      </c>
      <c r="D23" s="38" t="n">
        <v>1</v>
      </c>
      <c r="E23" s="37" t="n">
        <v>96</v>
      </c>
      <c r="F23" s="38" t="n">
        <v>100</v>
      </c>
      <c r="G23" s="38" t="n">
        <v>92</v>
      </c>
      <c r="H23" s="40" t="n">
        <v>28.75</v>
      </c>
    </row>
    <row r="24">
      <c r="A24" s="38" t="inlineStr">
        <is>
          <t>Crew</t>
        </is>
      </c>
      <c r="B24" s="39" t="inlineStr">
        <is>
          <t>Brianna Gatewood</t>
        </is>
      </c>
      <c r="C24" s="38" t="n">
        <v>4</v>
      </c>
      <c r="D24" s="38" t="n">
        <v>4</v>
      </c>
      <c r="E24" s="41" t="n">
        <v>100</v>
      </c>
      <c r="F24" s="38" t="n">
        <v>100</v>
      </c>
      <c r="G24" s="38" t="n">
        <v>100</v>
      </c>
      <c r="H24" s="40" t="n">
        <v>130.61</v>
      </c>
    </row>
    <row r="25">
      <c r="A25" s="38" t="inlineStr">
        <is>
          <t>Crew</t>
        </is>
      </c>
      <c r="B25" s="39" t="inlineStr">
        <is>
          <t>Jada Cox</t>
        </is>
      </c>
      <c r="C25" s="38" t="n">
        <v>3</v>
      </c>
      <c r="D25" s="38" t="n">
        <v>0</v>
      </c>
      <c r="E25" s="34" t="n">
        <v>88</v>
      </c>
      <c r="F25" s="38" t="n">
        <v>97</v>
      </c>
      <c r="G25" s="38" t="n">
        <v>75</v>
      </c>
      <c r="H25" s="40" t="n">
        <v>0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2</v>
      </c>
      <c r="D26" s="38" t="n">
        <v>1</v>
      </c>
      <c r="E26" s="37" t="n">
        <v>96</v>
      </c>
      <c r="F26" s="38" t="n">
        <v>100</v>
      </c>
      <c r="G26" s="38" t="n">
        <v>92</v>
      </c>
      <c r="H26" s="40" t="n">
        <v>32.86</v>
      </c>
    </row>
    <row r="27">
      <c r="A27" s="38" t="inlineStr">
        <is>
          <t>Crew</t>
        </is>
      </c>
      <c r="B27" s="39" t="inlineStr">
        <is>
          <t>DaKayla Dorsey</t>
        </is>
      </c>
      <c r="C27" s="38" t="n">
        <v>2</v>
      </c>
      <c r="D27" s="38" t="n">
        <v>1</v>
      </c>
      <c r="E27" s="37" t="n">
        <v>93.5</v>
      </c>
      <c r="F27" s="38" t="n">
        <v>100</v>
      </c>
      <c r="G27" s="38" t="n">
        <v>87</v>
      </c>
      <c r="H27" s="40" t="n">
        <v>23</v>
      </c>
    </row>
    <row r="28">
      <c r="A28" s="38" t="inlineStr">
        <is>
          <t>Crew</t>
        </is>
      </c>
      <c r="B28" s="39" t="inlineStr">
        <is>
          <t>Noel Belisle</t>
        </is>
      </c>
      <c r="C28" s="38" t="n">
        <v>2</v>
      </c>
      <c r="D28" s="38" t="n">
        <v>0</v>
      </c>
      <c r="E28" s="34" t="n">
        <v>87</v>
      </c>
      <c r="F28" s="38" t="n">
        <v>87</v>
      </c>
      <c r="G28" s="38" t="n">
        <v>87</v>
      </c>
      <c r="H28" s="40" t="n">
        <v>0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7" t="n">
        <v>95</v>
      </c>
      <c r="F29" s="38" t="n">
        <v>95</v>
      </c>
      <c r="G29" s="38" t="n">
        <v>95</v>
      </c>
      <c r="H29" s="40" t="n">
        <v>0</v>
      </c>
    </row>
    <row r="30">
      <c r="A30" s="38" t="inlineStr">
        <is>
          <t>Crew</t>
        </is>
      </c>
      <c r="B30" s="39" t="inlineStr">
        <is>
          <t>Robert Muncy Jr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23</v>
      </c>
    </row>
    <row r="31">
      <c r="A31" s="38" t="inlineStr">
        <is>
          <t>Crew</t>
        </is>
      </c>
      <c r="B31" s="39" t="inlineStr">
        <is>
          <t>Rusul Kadhim</t>
        </is>
      </c>
      <c r="C31" s="38" t="n">
        <v>1</v>
      </c>
      <c r="D31" s="38" t="n">
        <v>1</v>
      </c>
      <c r="E31" s="41" t="n">
        <v>100</v>
      </c>
      <c r="F31" s="38" t="n">
        <v>100</v>
      </c>
      <c r="G31" s="38" t="n">
        <v>100</v>
      </c>
      <c r="H31" s="40" t="n">
        <v>23</v>
      </c>
    </row>
    <row r="32">
      <c r="A32" s="38" t="inlineStr">
        <is>
          <t>Crew</t>
        </is>
      </c>
      <c r="B32" s="39" t="inlineStr">
        <is>
          <t>Samuel Galban Rocha</t>
        </is>
      </c>
      <c r="C32" s="38" t="n">
        <v>1</v>
      </c>
      <c r="D32" s="38" t="n">
        <v>0</v>
      </c>
      <c r="E32" s="37" t="n">
        <v>97</v>
      </c>
      <c r="F32" s="38" t="n">
        <v>97</v>
      </c>
      <c r="G32" s="38" t="n">
        <v>97</v>
      </c>
      <c r="H32" s="40" t="n">
        <v>0</v>
      </c>
    </row>
    <row r="33">
      <c r="A33" s="38" t="inlineStr">
        <is>
          <t>Crew</t>
        </is>
      </c>
      <c r="B33" s="39" t="inlineStr">
        <is>
          <t>Serina Gaskins</t>
        </is>
      </c>
      <c r="C33" s="38" t="n">
        <v>1</v>
      </c>
      <c r="D33" s="38" t="n">
        <v>1</v>
      </c>
      <c r="E33" s="41" t="n">
        <v>100</v>
      </c>
      <c r="F33" s="38" t="n">
        <v>100</v>
      </c>
      <c r="G33" s="38" t="n">
        <v>100</v>
      </c>
      <c r="H33" s="40" t="n">
        <v>23</v>
      </c>
    </row>
    <row r="35" ht="24" customHeight="1">
      <c r="A35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5:H35"/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Q3 2026 (Jul–Sep)</t>
        </is>
      </c>
    </row>
    <row r="2">
      <c r="A2" s="32" t="inlineStr">
        <is>
          <t>Store 2065 — 16 shops · avg 77.1%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12</v>
      </c>
      <c r="D5" s="33" t="n">
        <v>6</v>
      </c>
      <c r="E5" s="36" t="n">
        <v>76.7</v>
      </c>
      <c r="F5" s="33" t="n">
        <v>100</v>
      </c>
      <c r="G5" s="33" t="n">
        <v>0</v>
      </c>
      <c r="H5" s="35" t="n">
        <v>151.98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10</v>
      </c>
      <c r="D6" s="33" t="n">
        <v>7</v>
      </c>
      <c r="E6" s="37" t="n">
        <v>92.3</v>
      </c>
      <c r="F6" s="33" t="n">
        <v>100</v>
      </c>
      <c r="G6" s="33" t="n">
        <v>43</v>
      </c>
      <c r="H6" s="35" t="n">
        <v>197.98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7</v>
      </c>
      <c r="D7" s="33" t="n">
        <v>3</v>
      </c>
      <c r="E7" s="34" t="n">
        <v>82.09999999999999</v>
      </c>
      <c r="F7" s="33" t="n">
        <v>100</v>
      </c>
      <c r="G7" s="33" t="n">
        <v>0</v>
      </c>
      <c r="H7" s="35" t="n">
        <v>64.81999999999999</v>
      </c>
    </row>
    <row r="8">
      <c r="A8" s="33" t="inlineStr">
        <is>
          <t>Manager</t>
        </is>
      </c>
      <c r="B8" s="20" t="inlineStr">
        <is>
          <t>Heather Uebelacker-Maddox</t>
        </is>
      </c>
      <c r="C8" s="33" t="n">
        <v>5</v>
      </c>
      <c r="D8" s="33" t="n">
        <v>3</v>
      </c>
      <c r="E8" s="37" t="n">
        <v>98</v>
      </c>
      <c r="F8" s="33" t="n">
        <v>100</v>
      </c>
      <c r="G8" s="33" t="n">
        <v>95</v>
      </c>
      <c r="H8" s="35" t="n">
        <v>74.68000000000001</v>
      </c>
    </row>
    <row r="9">
      <c r="A9" s="33" t="inlineStr">
        <is>
          <t>Manager</t>
        </is>
      </c>
      <c r="B9" s="20" t="inlineStr">
        <is>
          <t>Madelynn Smith</t>
        </is>
      </c>
      <c r="C9" s="33" t="n">
        <v>5</v>
      </c>
      <c r="D9" s="33" t="n">
        <v>3</v>
      </c>
      <c r="E9" s="37" t="n">
        <v>96</v>
      </c>
      <c r="F9" s="33" t="n">
        <v>100</v>
      </c>
      <c r="G9" s="33" t="n">
        <v>85</v>
      </c>
      <c r="H9" s="35" t="n">
        <v>70.56999999999999</v>
      </c>
    </row>
    <row r="10">
      <c r="A10" s="33" t="inlineStr">
        <is>
          <t>Manager</t>
        </is>
      </c>
      <c r="B10" s="20" t="inlineStr">
        <is>
          <t>Rusul Kadhim</t>
        </is>
      </c>
      <c r="C10" s="33" t="n">
        <v>4</v>
      </c>
      <c r="D10" s="33" t="n">
        <v>2</v>
      </c>
      <c r="E10" s="34" t="n">
        <v>82.2</v>
      </c>
      <c r="F10" s="33" t="n">
        <v>100</v>
      </c>
      <c r="G10" s="33" t="n">
        <v>34</v>
      </c>
      <c r="H10" s="35" t="n">
        <v>53.77</v>
      </c>
    </row>
    <row r="11">
      <c r="A11" s="33" t="inlineStr">
        <is>
          <t>Manager</t>
        </is>
      </c>
      <c r="B11" s="20" t="inlineStr">
        <is>
          <t>Vicki Lucey</t>
        </is>
      </c>
      <c r="C11" s="33" t="n">
        <v>4</v>
      </c>
      <c r="D11" s="33" t="n">
        <v>1</v>
      </c>
      <c r="E11" s="36" t="n">
        <v>68</v>
      </c>
      <c r="F11" s="33" t="n">
        <v>100</v>
      </c>
      <c r="G11" s="33" t="n">
        <v>0</v>
      </c>
      <c r="H11" s="35" t="n">
        <v>20.91</v>
      </c>
    </row>
    <row r="12">
      <c r="A12" s="33" t="inlineStr">
        <is>
          <t>Manager</t>
        </is>
      </c>
      <c r="B12" s="20" t="inlineStr">
        <is>
          <t>Christopher Conder</t>
        </is>
      </c>
      <c r="C12" s="33" t="n">
        <v>3</v>
      </c>
      <c r="D12" s="33" t="n">
        <v>1</v>
      </c>
      <c r="E12" s="36" t="n">
        <v>65</v>
      </c>
      <c r="F12" s="33" t="n">
        <v>100</v>
      </c>
      <c r="G12" s="33" t="n">
        <v>0</v>
      </c>
      <c r="H12" s="35" t="n">
        <v>32.86</v>
      </c>
    </row>
    <row r="13">
      <c r="A13" s="33" t="inlineStr">
        <is>
          <t>Manager</t>
        </is>
      </c>
      <c r="B13" s="20" t="inlineStr">
        <is>
          <t>Bec Cahoe</t>
        </is>
      </c>
      <c r="C13" s="33" t="n">
        <v>1</v>
      </c>
      <c r="D13" s="33" t="n">
        <v>0</v>
      </c>
      <c r="E13" s="36" t="n">
        <v>43</v>
      </c>
      <c r="F13" s="33" t="n">
        <v>43</v>
      </c>
      <c r="G13" s="33" t="n">
        <v>43</v>
      </c>
      <c r="H13" s="35" t="n">
        <v>0</v>
      </c>
    </row>
    <row r="15">
      <c r="A15" s="3" t="inlineStr">
        <is>
          <t>CREW</t>
        </is>
      </c>
      <c r="B15" s="3" t="inlineStr">
        <is>
          <t>Name</t>
        </is>
      </c>
      <c r="C15" s="3" t="inlineStr">
        <is>
          <t>Shops Worked</t>
        </is>
      </c>
      <c r="D15" s="3" t="inlineStr">
        <is>
          <t>100% Shops</t>
        </is>
      </c>
      <c r="E15" s="3" t="inlineStr">
        <is>
          <t>Avg Score</t>
        </is>
      </c>
      <c r="F15" s="3" t="inlineStr">
        <is>
          <t>Best</t>
        </is>
      </c>
      <c r="G15" s="3" t="inlineStr">
        <is>
          <t>Lowest</t>
        </is>
      </c>
      <c r="H15" s="3" t="inlineStr">
        <is>
          <t>Earned</t>
        </is>
      </c>
    </row>
    <row r="16">
      <c r="A16" s="38" t="inlineStr">
        <is>
          <t>Crew</t>
        </is>
      </c>
      <c r="B16" s="39" t="inlineStr">
        <is>
          <t>Francisco Llorente Mejias</t>
        </is>
      </c>
      <c r="C16" s="38" t="n">
        <v>9</v>
      </c>
      <c r="D16" s="38" t="n">
        <v>4</v>
      </c>
      <c r="E16" s="36" t="n">
        <v>77.90000000000001</v>
      </c>
      <c r="F16" s="38" t="n">
        <v>100</v>
      </c>
      <c r="G16" s="38" t="n">
        <v>0</v>
      </c>
      <c r="H16" s="40" t="n">
        <v>115.46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9</v>
      </c>
      <c r="D17" s="38" t="n">
        <v>5</v>
      </c>
      <c r="E17" s="34" t="n">
        <v>85.2</v>
      </c>
      <c r="F17" s="38" t="n">
        <v>100</v>
      </c>
      <c r="G17" s="38" t="n">
        <v>0</v>
      </c>
      <c r="H17" s="40" t="n">
        <v>143.68</v>
      </c>
    </row>
    <row r="18">
      <c r="A18" s="38" t="inlineStr">
        <is>
          <t>Crew</t>
        </is>
      </c>
      <c r="B18" s="39" t="inlineStr">
        <is>
          <t>Elizabeth Brazell</t>
        </is>
      </c>
      <c r="C18" s="38" t="n">
        <v>8</v>
      </c>
      <c r="D18" s="38" t="n">
        <v>4</v>
      </c>
      <c r="E18" s="37" t="n">
        <v>90</v>
      </c>
      <c r="F18" s="38" t="n">
        <v>100</v>
      </c>
      <c r="G18" s="38" t="n">
        <v>43</v>
      </c>
      <c r="H18" s="40" t="n">
        <v>98.20999999999999</v>
      </c>
    </row>
    <row r="19">
      <c r="A19" s="38" t="inlineStr">
        <is>
          <t>Crew</t>
        </is>
      </c>
      <c r="B19" s="39" t="inlineStr">
        <is>
          <t>Emanuela Kamara</t>
        </is>
      </c>
      <c r="C19" s="38" t="n">
        <v>8</v>
      </c>
      <c r="D19" s="38" t="n">
        <v>2</v>
      </c>
      <c r="E19" s="36" t="n">
        <v>63.9</v>
      </c>
      <c r="F19" s="38" t="n">
        <v>100</v>
      </c>
      <c r="G19" s="38" t="n">
        <v>0</v>
      </c>
      <c r="H19" s="40" t="n">
        <v>43.91</v>
      </c>
    </row>
    <row r="20">
      <c r="A20" s="38" t="inlineStr">
        <is>
          <t>Crew</t>
        </is>
      </c>
      <c r="B20" s="39" t="inlineStr">
        <is>
          <t>Serina Gaskins</t>
        </is>
      </c>
      <c r="C20" s="38" t="n">
        <v>8</v>
      </c>
      <c r="D20" s="38" t="n">
        <v>3</v>
      </c>
      <c r="E20" s="34" t="n">
        <v>82.8</v>
      </c>
      <c r="F20" s="38" t="n">
        <v>100</v>
      </c>
      <c r="G20" s="38" t="n">
        <v>0</v>
      </c>
      <c r="H20" s="40" t="n">
        <v>75.20999999999999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6</v>
      </c>
      <c r="D21" s="38" t="n">
        <v>3</v>
      </c>
      <c r="E21" s="36" t="n">
        <v>78.7</v>
      </c>
      <c r="F21" s="38" t="n">
        <v>100</v>
      </c>
      <c r="G21" s="38" t="n">
        <v>34</v>
      </c>
      <c r="H21" s="40" t="n">
        <v>77.31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6</v>
      </c>
      <c r="D22" s="38" t="n">
        <v>2</v>
      </c>
      <c r="E22" s="36" t="n">
        <v>77.8</v>
      </c>
      <c r="F22" s="38" t="n">
        <v>100</v>
      </c>
      <c r="G22" s="38" t="n">
        <v>34</v>
      </c>
      <c r="H22" s="40" t="n">
        <v>48.56</v>
      </c>
    </row>
    <row r="23">
      <c r="A23" s="38" t="inlineStr">
        <is>
          <t>Crew</t>
        </is>
      </c>
      <c r="B23" s="39" t="inlineStr">
        <is>
          <t>Cortez Brown</t>
        </is>
      </c>
      <c r="C23" s="38" t="n">
        <v>5</v>
      </c>
      <c r="D23" s="38" t="n">
        <v>3</v>
      </c>
      <c r="E23" s="36" t="n">
        <v>79</v>
      </c>
      <c r="F23" s="38" t="n">
        <v>100</v>
      </c>
      <c r="G23" s="38" t="n">
        <v>0</v>
      </c>
      <c r="H23" s="40" t="n">
        <v>95.66</v>
      </c>
    </row>
    <row r="24">
      <c r="A24" s="38" t="inlineStr">
        <is>
          <t>Crew</t>
        </is>
      </c>
      <c r="B24" s="39" t="inlineStr">
        <is>
          <t>Lidy Henry</t>
        </is>
      </c>
      <c r="C24" s="38" t="n">
        <v>5</v>
      </c>
      <c r="D24" s="38" t="n">
        <v>3</v>
      </c>
      <c r="E24" s="37" t="n">
        <v>96</v>
      </c>
      <c r="F24" s="38" t="n">
        <v>100</v>
      </c>
      <c r="G24" s="38" t="n">
        <v>85</v>
      </c>
      <c r="H24" s="40" t="n">
        <v>99.77</v>
      </c>
    </row>
    <row r="25">
      <c r="A25" s="38" t="inlineStr">
        <is>
          <t>Crew</t>
        </is>
      </c>
      <c r="B25" s="39" t="inlineStr">
        <is>
          <t>Mykenize Milledge</t>
        </is>
      </c>
      <c r="C25" s="38" t="n">
        <v>5</v>
      </c>
      <c r="D25" s="38" t="n">
        <v>2</v>
      </c>
      <c r="E25" s="34" t="n">
        <v>84.8</v>
      </c>
      <c r="F25" s="38" t="n">
        <v>100</v>
      </c>
      <c r="G25" s="38" t="n">
        <v>34</v>
      </c>
      <c r="H25" s="40" t="n">
        <v>43.91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4</v>
      </c>
      <c r="D26" s="38" t="n">
        <v>2</v>
      </c>
      <c r="E26" s="37" t="n">
        <v>95.5</v>
      </c>
      <c r="F26" s="38" t="n">
        <v>100</v>
      </c>
      <c r="G26" s="38" t="n">
        <v>87</v>
      </c>
      <c r="H26" s="40" t="n">
        <v>49.66</v>
      </c>
    </row>
    <row r="27">
      <c r="A27" s="38" t="inlineStr">
        <is>
          <t>Crew</t>
        </is>
      </c>
      <c r="B27" s="39" t="inlineStr">
        <is>
          <t>Jeremiah Matthews</t>
        </is>
      </c>
      <c r="C27" s="38" t="n">
        <v>4</v>
      </c>
      <c r="D27" s="38" t="n">
        <v>1</v>
      </c>
      <c r="E27" s="36" t="n">
        <v>70</v>
      </c>
      <c r="F27" s="38" t="n">
        <v>100</v>
      </c>
      <c r="G27" s="38" t="n">
        <v>0</v>
      </c>
      <c r="H27" s="40" t="n">
        <v>25.56</v>
      </c>
    </row>
    <row r="28">
      <c r="A28" s="38" t="inlineStr">
        <is>
          <t>Crew</t>
        </is>
      </c>
      <c r="B28" s="39" t="inlineStr">
        <is>
          <t>Richard Gibbs</t>
        </is>
      </c>
      <c r="C28" s="38" t="n">
        <v>2</v>
      </c>
      <c r="D28" s="38" t="n">
        <v>1</v>
      </c>
      <c r="E28" s="36" t="n">
        <v>50</v>
      </c>
      <c r="F28" s="38" t="n">
        <v>100</v>
      </c>
      <c r="G28" s="38" t="n">
        <v>0</v>
      </c>
      <c r="H28" s="40" t="n">
        <v>25.56</v>
      </c>
    </row>
    <row r="29">
      <c r="A29" s="38" t="inlineStr">
        <is>
          <t>Crew</t>
        </is>
      </c>
      <c r="B29" s="39" t="inlineStr">
        <is>
          <t>Brianna Gatewood</t>
        </is>
      </c>
      <c r="C29" s="38" t="n">
        <v>1</v>
      </c>
      <c r="D29" s="38" t="n">
        <v>0</v>
      </c>
      <c r="E29" s="36" t="n">
        <v>0</v>
      </c>
      <c r="F29" s="38" t="n">
        <v>0</v>
      </c>
      <c r="G29" s="38" t="n">
        <v>0</v>
      </c>
      <c r="H29" s="40" t="n">
        <v>0</v>
      </c>
    </row>
    <row r="30">
      <c r="A30" s="38" t="inlineStr">
        <is>
          <t>Crew</t>
        </is>
      </c>
      <c r="B30" s="39" t="inlineStr">
        <is>
          <t>Maylin Hernandez Rodriguez</t>
        </is>
      </c>
      <c r="C30" s="38" t="n">
        <v>1</v>
      </c>
      <c r="D30" s="38" t="n">
        <v>0</v>
      </c>
      <c r="E30" s="34" t="n">
        <v>85</v>
      </c>
      <c r="F30" s="38" t="n">
        <v>85</v>
      </c>
      <c r="G30" s="38" t="n">
        <v>85</v>
      </c>
      <c r="H30" s="40" t="n">
        <v>0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Q4 2026 (Oct–Dec)</t>
        </is>
      </c>
    </row>
    <row r="2">
      <c r="A2" s="32" t="inlineStr">
        <is>
          <t>Store 2065 — 6 shops · avg 96.5% · 3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Madelynn Smith</t>
        </is>
      </c>
      <c r="C5" s="33" t="n">
        <v>4</v>
      </c>
      <c r="D5" s="33" t="n">
        <v>3</v>
      </c>
      <c r="E5" s="37" t="n">
        <v>98.8</v>
      </c>
      <c r="F5" s="33" t="n">
        <v>100</v>
      </c>
      <c r="G5" s="33" t="n">
        <v>95</v>
      </c>
      <c r="H5" s="35" t="n">
        <v>120.75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4</v>
      </c>
      <c r="D6" s="33" t="n">
        <v>2</v>
      </c>
      <c r="E6" s="37" t="n">
        <v>96.8</v>
      </c>
      <c r="F6" s="33" t="n">
        <v>100</v>
      </c>
      <c r="G6" s="33" t="n">
        <v>92</v>
      </c>
      <c r="H6" s="35" t="n">
        <v>74.75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3</v>
      </c>
      <c r="D7" s="33" t="n">
        <v>1</v>
      </c>
      <c r="E7" s="37" t="n">
        <v>94.7</v>
      </c>
      <c r="F7" s="33" t="n">
        <v>100</v>
      </c>
      <c r="G7" s="33" t="n">
        <v>92</v>
      </c>
      <c r="H7" s="35" t="n">
        <v>28.75</v>
      </c>
    </row>
    <row r="8">
      <c r="A8" s="33" t="inlineStr">
        <is>
          <t>Manager</t>
        </is>
      </c>
      <c r="B8" s="20" t="inlineStr">
        <is>
          <t>Cortez Brown</t>
        </is>
      </c>
      <c r="C8" s="33" t="n">
        <v>2</v>
      </c>
      <c r="D8" s="33" t="n">
        <v>1</v>
      </c>
      <c r="E8" s="37" t="n">
        <v>96</v>
      </c>
      <c r="F8" s="33" t="n">
        <v>100</v>
      </c>
      <c r="G8" s="33" t="n">
        <v>92</v>
      </c>
      <c r="H8" s="35" t="n">
        <v>46</v>
      </c>
    </row>
    <row r="9">
      <c r="A9" s="33" t="inlineStr">
        <is>
          <t>Manager</t>
        </is>
      </c>
      <c r="B9" s="20" t="inlineStr">
        <is>
          <t>Madison Cureton</t>
        </is>
      </c>
      <c r="C9" s="33" t="n">
        <v>2</v>
      </c>
      <c r="D9" s="33" t="n">
        <v>0</v>
      </c>
      <c r="E9" s="37" t="n">
        <v>92</v>
      </c>
      <c r="F9" s="33" t="n">
        <v>92</v>
      </c>
      <c r="G9" s="33" t="n">
        <v>92</v>
      </c>
      <c r="H9" s="35" t="n">
        <v>0</v>
      </c>
    </row>
    <row r="10">
      <c r="A10" s="33" t="inlineStr">
        <is>
          <t>Manager</t>
        </is>
      </c>
      <c r="B10" s="20" t="inlineStr">
        <is>
          <t>Vicki Lucey</t>
        </is>
      </c>
      <c r="C10" s="33" t="n">
        <v>2</v>
      </c>
      <c r="D10" s="33" t="n">
        <v>1</v>
      </c>
      <c r="E10" s="37" t="n">
        <v>96</v>
      </c>
      <c r="F10" s="33" t="n">
        <v>100</v>
      </c>
      <c r="G10" s="33" t="n">
        <v>92</v>
      </c>
      <c r="H10" s="35" t="n">
        <v>46</v>
      </c>
    </row>
    <row r="11">
      <c r="A11" s="33" t="inlineStr">
        <is>
          <t>Manager</t>
        </is>
      </c>
      <c r="B11" s="20" t="inlineStr">
        <is>
          <t>Alexandra Campbell</t>
        </is>
      </c>
      <c r="C11" s="33" t="n">
        <v>1</v>
      </c>
      <c r="D11" s="33" t="n">
        <v>1</v>
      </c>
      <c r="E11" s="41" t="n">
        <v>100</v>
      </c>
      <c r="F11" s="33" t="n">
        <v>100</v>
      </c>
      <c r="G11" s="33" t="n">
        <v>100</v>
      </c>
      <c r="H11" s="35" t="n">
        <v>46</v>
      </c>
    </row>
    <row r="12">
      <c r="A12" s="33" t="inlineStr">
        <is>
          <t>Manager</t>
        </is>
      </c>
      <c r="B12" s="20" t="inlineStr">
        <is>
          <t>Rusul Kadhim</t>
        </is>
      </c>
      <c r="C12" s="33" t="n">
        <v>1</v>
      </c>
      <c r="D12" s="33" t="n">
        <v>1</v>
      </c>
      <c r="E12" s="41" t="n">
        <v>100</v>
      </c>
      <c r="F12" s="33" t="n">
        <v>100</v>
      </c>
      <c r="G12" s="33" t="n">
        <v>100</v>
      </c>
      <c r="H12" s="35" t="n">
        <v>28.75</v>
      </c>
    </row>
    <row r="14">
      <c r="A14" s="3" t="inlineStr">
        <is>
          <t>CREW</t>
        </is>
      </c>
      <c r="B14" s="3" t="inlineStr">
        <is>
          <t>Name</t>
        </is>
      </c>
      <c r="C14" s="3" t="inlineStr">
        <is>
          <t>Shops Worked</t>
        </is>
      </c>
      <c r="D14" s="3" t="inlineStr">
        <is>
          <t>100% Shops</t>
        </is>
      </c>
      <c r="E14" s="3" t="inlineStr">
        <is>
          <t>Avg Score</t>
        </is>
      </c>
      <c r="F14" s="3" t="inlineStr">
        <is>
          <t>Best</t>
        </is>
      </c>
      <c r="G14" s="3" t="inlineStr">
        <is>
          <t>Lowest</t>
        </is>
      </c>
      <c r="H14" s="3" t="inlineStr">
        <is>
          <t>Earned</t>
        </is>
      </c>
    </row>
    <row r="15">
      <c r="A15" s="38" t="inlineStr">
        <is>
          <t>Crew</t>
        </is>
      </c>
      <c r="B15" s="39" t="inlineStr">
        <is>
          <t>Emanuela Kamara</t>
        </is>
      </c>
      <c r="C15" s="38" t="n">
        <v>3</v>
      </c>
      <c r="D15" s="38" t="n">
        <v>1</v>
      </c>
      <c r="E15" s="37" t="n">
        <v>94.7</v>
      </c>
      <c r="F15" s="38" t="n">
        <v>100</v>
      </c>
      <c r="G15" s="38" t="n">
        <v>92</v>
      </c>
      <c r="H15" s="40" t="n">
        <v>46</v>
      </c>
    </row>
    <row r="16">
      <c r="A16" s="38" t="inlineStr">
        <is>
          <t>Crew</t>
        </is>
      </c>
      <c r="B16" s="39" t="inlineStr">
        <is>
          <t>Ailen Gonzalez Cardero</t>
        </is>
      </c>
      <c r="C16" s="38" t="n">
        <v>2</v>
      </c>
      <c r="D16" s="38" t="n">
        <v>1</v>
      </c>
      <c r="E16" s="37" t="n">
        <v>96</v>
      </c>
      <c r="F16" s="38" t="n">
        <v>100</v>
      </c>
      <c r="G16" s="38" t="n">
        <v>92</v>
      </c>
      <c r="H16" s="40" t="n">
        <v>28.75</v>
      </c>
    </row>
    <row r="17">
      <c r="A17" s="38" t="inlineStr">
        <is>
          <t>Crew</t>
        </is>
      </c>
      <c r="B17" s="39" t="inlineStr">
        <is>
          <t>Francisco Llorente Mejias</t>
        </is>
      </c>
      <c r="C17" s="38" t="n">
        <v>2</v>
      </c>
      <c r="D17" s="38" t="n">
        <v>1</v>
      </c>
      <c r="E17" s="37" t="n">
        <v>97.5</v>
      </c>
      <c r="F17" s="38" t="n">
        <v>100</v>
      </c>
      <c r="G17" s="38" t="n">
        <v>95</v>
      </c>
      <c r="H17" s="40" t="n">
        <v>28.75</v>
      </c>
    </row>
    <row r="18">
      <c r="A18" s="38" t="inlineStr">
        <is>
          <t>Crew</t>
        </is>
      </c>
      <c r="B18" s="39" t="inlineStr">
        <is>
          <t>Katherine Valentin</t>
        </is>
      </c>
      <c r="C18" s="38" t="n">
        <v>2</v>
      </c>
      <c r="D18" s="38" t="n">
        <v>2</v>
      </c>
      <c r="E18" s="41" t="n">
        <v>100</v>
      </c>
      <c r="F18" s="38" t="n">
        <v>100</v>
      </c>
      <c r="G18" s="38" t="n">
        <v>100</v>
      </c>
      <c r="H18" s="40" t="n">
        <v>74.75</v>
      </c>
    </row>
    <row r="19">
      <c r="A19" s="38" t="inlineStr">
        <is>
          <t>Crew</t>
        </is>
      </c>
      <c r="B19" s="39" t="inlineStr">
        <is>
          <t>Mykenize Milledge</t>
        </is>
      </c>
      <c r="C19" s="38" t="n">
        <v>2</v>
      </c>
      <c r="D19" s="38" t="n">
        <v>1</v>
      </c>
      <c r="E19" s="37" t="n">
        <v>96</v>
      </c>
      <c r="F19" s="38" t="n">
        <v>100</v>
      </c>
      <c r="G19" s="38" t="n">
        <v>92</v>
      </c>
      <c r="H19" s="40" t="n">
        <v>46</v>
      </c>
    </row>
    <row r="20">
      <c r="A20" s="38" t="inlineStr">
        <is>
          <t>Crew</t>
        </is>
      </c>
      <c r="B20" s="39" t="inlineStr">
        <is>
          <t>Zack Whitten</t>
        </is>
      </c>
      <c r="C20" s="38" t="n">
        <v>2</v>
      </c>
      <c r="D20" s="38" t="n">
        <v>0</v>
      </c>
      <c r="E20" s="37" t="n">
        <v>93.5</v>
      </c>
      <c r="F20" s="38" t="n">
        <v>95</v>
      </c>
      <c r="G20" s="38" t="n">
        <v>92</v>
      </c>
      <c r="H20" s="40" t="n">
        <v>0</v>
      </c>
    </row>
    <row r="21">
      <c r="A21" s="38" t="inlineStr">
        <is>
          <t>Crew</t>
        </is>
      </c>
      <c r="B21" s="39" t="inlineStr">
        <is>
          <t>Elizabeth Brazell</t>
        </is>
      </c>
      <c r="C21" s="38" t="n">
        <v>1</v>
      </c>
      <c r="D21" s="38" t="n">
        <v>0</v>
      </c>
      <c r="E21" s="37" t="n">
        <v>92</v>
      </c>
      <c r="F21" s="38" t="n">
        <v>92</v>
      </c>
      <c r="G21" s="38" t="n">
        <v>92</v>
      </c>
      <c r="H21" s="40" t="n">
        <v>0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1</v>
      </c>
      <c r="D22" s="38" t="n">
        <v>1</v>
      </c>
      <c r="E22" s="41" t="n">
        <v>100</v>
      </c>
      <c r="F22" s="38" t="n">
        <v>100</v>
      </c>
      <c r="G22" s="38" t="n">
        <v>100</v>
      </c>
      <c r="H22" s="40" t="n">
        <v>28.75</v>
      </c>
    </row>
    <row r="23">
      <c r="A23" s="38" t="inlineStr">
        <is>
          <t>Crew</t>
        </is>
      </c>
      <c r="B23" s="39" t="inlineStr">
        <is>
          <t>Lidy Henry</t>
        </is>
      </c>
      <c r="C23" s="38" t="n">
        <v>1</v>
      </c>
      <c r="D23" s="38" t="n">
        <v>1</v>
      </c>
      <c r="E23" s="41" t="n">
        <v>100</v>
      </c>
      <c r="F23" s="38" t="n">
        <v>100</v>
      </c>
      <c r="G23" s="38" t="n">
        <v>100</v>
      </c>
      <c r="H23" s="40" t="n">
        <v>46</v>
      </c>
    </row>
    <row r="24">
      <c r="A24" s="38" t="inlineStr">
        <is>
          <t>Crew</t>
        </is>
      </c>
      <c r="B24" s="39" t="inlineStr">
        <is>
          <t>Rodolfo Trujillo</t>
        </is>
      </c>
      <c r="C24" s="38" t="n">
        <v>1</v>
      </c>
      <c r="D24" s="38" t="n">
        <v>0</v>
      </c>
      <c r="E24" s="37" t="n">
        <v>92</v>
      </c>
      <c r="F24" s="38" t="n">
        <v>92</v>
      </c>
      <c r="G24" s="38" t="n">
        <v>92</v>
      </c>
      <c r="H24" s="40" t="n">
        <v>0</v>
      </c>
    </row>
    <row r="26" ht="24" customHeight="1">
      <c r="A26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26:H26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2026-10-30T15:44:33Z</dcterms:created>
  <dcterms:modified xsi:type="dcterms:W3CDTF">2026-10-30T15:44:33Z</dcterms:modified>
</cp:coreProperties>
</file>