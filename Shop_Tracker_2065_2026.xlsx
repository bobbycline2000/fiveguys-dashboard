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4" fillId="3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164" fontId="17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/>
    </xf>
    <xf numFmtId="9" fontId="20" fillId="14" borderId="1" applyAlignment="1" pivotButton="0" quotePrefix="0" xfId="0">
      <alignment horizontal="center" vertical="center"/>
    </xf>
    <xf numFmtId="9" fontId="21" fillId="9" borderId="1" applyAlignment="1" pivotButton="0" quotePrefix="0" xfId="0">
      <alignment horizontal="center" vertical="center"/>
    </xf>
    <xf numFmtId="9" fontId="22" fillId="9" borderId="1" applyAlignment="1" pivotButton="0" quotePrefix="0" xfId="0">
      <alignment horizontal="center" vertical="center"/>
    </xf>
    <xf numFmtId="9" fontId="23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>
        <f>IFERROR(AVERAGE(C7:L7),"")</f>
        <v/>
      </c>
      <c r="N7" s="12" t="inlineStr"/>
      <c r="O7" s="12" t="inlineStr"/>
    </row>
    <row r="8" ht="13" customHeight="1">
      <c r="A8" s="18" t="inlineStr"/>
      <c r="B8" s="19" t="inlineStr">
        <is>
          <t>Service</t>
        </is>
      </c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  <c r="M8" s="20">
        <f>IFERROR(AVERAGE(C8:L8),"")</f>
        <v/>
      </c>
      <c r="N8" s="18" t="inlineStr"/>
      <c r="O8" s="18" t="inlineStr"/>
    </row>
    <row r="9" ht="13" customHeight="1">
      <c r="A9" s="18" t="inlineStr"/>
      <c r="B9" s="19" t="inlineStr">
        <is>
          <t>Quality</t>
        </is>
      </c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20">
        <f>IFERROR(AVERAGE(C9:L9),"")</f>
        <v/>
      </c>
      <c r="N9" s="18" t="inlineStr"/>
      <c r="O9" s="18" t="inlineStr"/>
    </row>
    <row r="10" ht="13" customHeight="1">
      <c r="A10" s="18" t="inlineStr"/>
      <c r="B10" s="19" t="inlineStr">
        <is>
          <t>Cleanliness</t>
        </is>
      </c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  <c r="M10" s="20">
        <f>IFERROR(AVERAGE(C10:L10),"")</f>
        <v/>
      </c>
      <c r="N10" s="18" t="inlineStr"/>
      <c r="O10" s="18" t="inlineStr"/>
    </row>
    <row r="11" ht="13" customHeight="1">
      <c r="A11" s="18" t="inlineStr"/>
      <c r="B11" s="19" t="inlineStr">
        <is>
          <t>Customer Sat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20">
        <f>IFERROR(AVERAGE(C11:L11),"")</f>
        <v/>
      </c>
      <c r="N11" s="18" t="inlineStr"/>
      <c r="O11" s="18" t="inlineStr"/>
    </row>
    <row r="12" ht="6" customHeight="1">
      <c r="A12" s="21" t="n"/>
    </row>
    <row r="13" ht="18" customHeight="1">
      <c r="A13" s="22" t="inlineStr">
        <is>
          <t>MANAGERS</t>
        </is>
      </c>
    </row>
    <row r="14" ht="17" customHeight="1">
      <c r="A14" s="23" t="n">
        <v>1</v>
      </c>
      <c r="B14" s="24" t="inlineStr">
        <is>
          <t>Madison C.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17">
        <f>IFERROR(AVERAGEIFS($C$7:$L$7,C14:L14,"Y"),"")</f>
        <v/>
      </c>
      <c r="N14" s="26">
        <f>COUNTIF(C14:L14,"Y")</f>
        <v/>
      </c>
      <c r="O14" s="27">
        <f>SUMPRODUCT((C$7:$L$7=1)*(C14:L14="Y"))*50</f>
        <v/>
      </c>
    </row>
    <row r="15" ht="17" customHeight="1">
      <c r="A15" s="23" t="n">
        <v>2</v>
      </c>
      <c r="B15" s="24" t="inlineStr">
        <is>
          <t>Vicki L.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17">
        <f>IFERROR(AVERAGEIFS($C$7:$L$7,C15:L15,"Y"),"")</f>
        <v/>
      </c>
      <c r="N15" s="26">
        <f>COUNTIF(C15:L15,"Y")</f>
        <v/>
      </c>
      <c r="O15" s="27">
        <f>SUMPRODUCT((C$7:$L$7=1)*(C15:L15="Y"))*50</f>
        <v/>
      </c>
    </row>
    <row r="16" ht="17" customHeight="1">
      <c r="A16" s="23" t="n">
        <v>3</v>
      </c>
      <c r="B16" s="24" t="inlineStr">
        <is>
          <t>Kasey W.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17">
        <f>IFERROR(AVERAGEIFS($C$7:$L$7,C16:L16,"Y"),"")</f>
        <v/>
      </c>
      <c r="N16" s="26">
        <f>COUNTIF(C16:L16,"Y")</f>
        <v/>
      </c>
      <c r="O16" s="27">
        <f>SUMPRODUCT((C$7:$L$7=1)*(C16:L16="Y"))*50</f>
        <v/>
      </c>
    </row>
    <row r="17" ht="17" customHeight="1">
      <c r="A17" s="23" t="n">
        <v>4</v>
      </c>
      <c r="B17" s="24" t="inlineStr">
        <is>
          <t>Nathan R.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17">
        <f>IFERROR(AVERAGEIFS($C$7:$L$7,C17:L17,"Y"),"")</f>
        <v/>
      </c>
      <c r="N17" s="26">
        <f>COUNTIF(C17:L17,"Y")</f>
        <v/>
      </c>
      <c r="O17" s="27">
        <f>SUMPRODUCT((C$7:$L$7=1)*(C17:L17="Y"))*50</f>
        <v/>
      </c>
    </row>
    <row r="18" ht="6" customHeight="1">
      <c r="A18" s="21" t="n"/>
    </row>
    <row r="19" ht="18" customHeight="1">
      <c r="A19" s="28" t="inlineStr">
        <is>
          <t>CREW</t>
        </is>
      </c>
    </row>
    <row r="20" ht="17" customHeight="1">
      <c r="A20" s="29" t="n">
        <v>1</v>
      </c>
      <c r="B20" s="30" t="inlineStr">
        <is>
          <t>Alen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17">
        <f>IFERROR(AVERAGEIFS($C$7:$L$7,C20:L20,"Y"),"")</f>
        <v/>
      </c>
      <c r="N20" s="26">
        <f>COUNTIF(C20:L20,"Y")</f>
        <v/>
      </c>
      <c r="O20" s="27">
        <f>SUMPRODUCT((C$7:$L$7=1)*(C20:L20="Y"))*50</f>
        <v/>
      </c>
    </row>
    <row r="21" ht="17" customHeight="1">
      <c r="A21" s="32" t="n">
        <v>2</v>
      </c>
      <c r="B21" s="33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7">
        <f>IFERROR(AVERAGEIFS($C$7:$L$7,C21:L21,"Y"),"")</f>
        <v/>
      </c>
      <c r="N21" s="26">
        <f>COUNTIF(C21:L21,"Y")</f>
        <v/>
      </c>
      <c r="O21" s="27">
        <f>SUMPRODUCT((C$7:$L$7=1)*(C21:L21="Y"))*50</f>
        <v/>
      </c>
    </row>
    <row r="22" ht="17" customHeight="1">
      <c r="A22" s="29" t="n">
        <v>3</v>
      </c>
      <c r="B22" s="30" t="inlineStr">
        <is>
          <t>Autumn</t>
        </is>
      </c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17">
        <f>IFERROR(AVERAGEIFS($C$7:$L$7,C22:L22,"Y"),"")</f>
        <v/>
      </c>
      <c r="N22" s="26">
        <f>COUNTIF(C22:L22,"Y")</f>
        <v/>
      </c>
      <c r="O22" s="27">
        <f>SUMPRODUCT((C$7:$L$7=1)*(C22:L22="Y"))*50</f>
        <v/>
      </c>
    </row>
    <row r="23" ht="17" customHeight="1">
      <c r="A23" s="32" t="n">
        <v>4</v>
      </c>
      <c r="B23" s="33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7">
        <f>IFERROR(AVERAGEIFS($C$7:$L$7,C23:L23,"Y"),"")</f>
        <v/>
      </c>
      <c r="N23" s="26">
        <f>COUNTIF(C23:L23,"Y")</f>
        <v/>
      </c>
      <c r="O23" s="27">
        <f>SUMPRODUCT((C$7:$L$7=1)*(C23:L23="Y"))*50</f>
        <v/>
      </c>
    </row>
    <row r="24" ht="17" customHeight="1">
      <c r="A24" s="29" t="n">
        <v>5</v>
      </c>
      <c r="B24" s="30" t="inlineStr">
        <is>
          <t>Dakayla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17">
        <f>IFERROR(AVERAGEIFS($C$7:$L$7,C24:L24,"Y"),"")</f>
        <v/>
      </c>
      <c r="N24" s="26">
        <f>COUNTIF(C24:L24,"Y")</f>
        <v/>
      </c>
      <c r="O24" s="27">
        <f>SUMPRODUCT((C$7:$L$7=1)*(C24:L24="Y"))*50</f>
        <v/>
      </c>
    </row>
    <row r="25" ht="17" customHeight="1">
      <c r="A25" s="32" t="n">
        <v>6</v>
      </c>
      <c r="B25" s="33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7">
        <f>IFERROR(AVERAGEIFS($C$7:$L$7,C25:L25,"Y"),"")</f>
        <v/>
      </c>
      <c r="N25" s="26">
        <f>COUNTIF(C25:L25,"Y")</f>
        <v/>
      </c>
      <c r="O25" s="27">
        <f>SUMPRODUCT((C$7:$L$7=1)*(C25:L25="Y"))*50</f>
        <v/>
      </c>
    </row>
    <row r="26" ht="17" customHeight="1">
      <c r="A26" s="29" t="n">
        <v>7</v>
      </c>
      <c r="B26" s="30" t="inlineStr">
        <is>
          <t>Francisco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17">
        <f>IFERROR(AVERAGEIFS($C$7:$L$7,C26:L26,"Y"),"")</f>
        <v/>
      </c>
      <c r="N26" s="26">
        <f>COUNTIF(C26:L26,"Y")</f>
        <v/>
      </c>
      <c r="O26" s="27">
        <f>SUMPRODUCT((C$7:$L$7=1)*(C26:L26="Y"))*50</f>
        <v/>
      </c>
    </row>
    <row r="27" ht="17" customHeight="1">
      <c r="A27" s="32" t="n">
        <v>8</v>
      </c>
      <c r="B27" s="33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7">
        <f>IFERROR(AVERAGEIFS($C$7:$L$7,C27:L27,"Y"),"")</f>
        <v/>
      </c>
      <c r="N27" s="26">
        <f>COUNTIF(C27:L27,"Y")</f>
        <v/>
      </c>
      <c r="O27" s="27">
        <f>SUMPRODUCT((C$7:$L$7=1)*(C27:L27="Y"))*50</f>
        <v/>
      </c>
    </row>
    <row r="28" ht="17" customHeight="1">
      <c r="A28" s="29" t="n">
        <v>9</v>
      </c>
      <c r="B28" s="30" t="inlineStr">
        <is>
          <t>Jada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17">
        <f>IFERROR(AVERAGEIFS($C$7:$L$7,C28:L28,"Y"),"")</f>
        <v/>
      </c>
      <c r="N28" s="26">
        <f>COUNTIF(C28:L28,"Y")</f>
        <v/>
      </c>
      <c r="O28" s="27">
        <f>SUMPRODUCT((C$7:$L$7=1)*(C28:L28="Y"))*50</f>
        <v/>
      </c>
    </row>
    <row r="29" ht="17" customHeight="1">
      <c r="A29" s="32" t="n">
        <v>10</v>
      </c>
      <c r="B29" s="33" t="inlineStr">
        <is>
          <t>Jeremiah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7">
        <f>IFERROR(AVERAGEIFS($C$7:$L$7,C29:L29,"Y"),"")</f>
        <v/>
      </c>
      <c r="N29" s="26">
        <f>COUNTIF(C29:L29,"Y")</f>
        <v/>
      </c>
      <c r="O29" s="27">
        <f>SUMPRODUCT((C$7:$L$7=1)*(C29:L29="Y"))*50</f>
        <v/>
      </c>
    </row>
    <row r="30" ht="17" customHeight="1">
      <c r="A30" s="29" t="n">
        <v>11</v>
      </c>
      <c r="B30" s="30" t="inlineStr">
        <is>
          <t>Kable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17">
        <f>IFERROR(AVERAGEIFS($C$7:$L$7,C30:L30,"Y"),"")</f>
        <v/>
      </c>
      <c r="N30" s="26">
        <f>COUNTIF(C30:L30,"Y")</f>
        <v/>
      </c>
      <c r="O30" s="27">
        <f>SUMPRODUCT((C$7:$L$7=1)*(C30:L30="Y"))*50</f>
        <v/>
      </c>
    </row>
    <row r="31" ht="17" customHeight="1">
      <c r="A31" s="32" t="n">
        <v>12</v>
      </c>
      <c r="B31" s="33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7">
        <f>IFERROR(AVERAGEIFS($C$7:$L$7,C31:L31,"Y"),"")</f>
        <v/>
      </c>
      <c r="N31" s="26">
        <f>COUNTIF(C31:L31,"Y")</f>
        <v/>
      </c>
      <c r="O31" s="27">
        <f>SUMPRODUCT((C$7:$L$7=1)*(C31:L31="Y"))*50</f>
        <v/>
      </c>
    </row>
    <row r="32" ht="17" customHeight="1">
      <c r="A32" s="29" t="n">
        <v>13</v>
      </c>
      <c r="B32" s="30" t="inlineStr">
        <is>
          <t>Kenzie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17">
        <f>IFERROR(AVERAGEIFS($C$7:$L$7,C32:L32,"Y"),"")</f>
        <v/>
      </c>
      <c r="N32" s="26">
        <f>COUNTIF(C32:L32,"Y")</f>
        <v/>
      </c>
      <c r="O32" s="27">
        <f>SUMPRODUCT((C$7:$L$7=1)*(C32:L32="Y"))*50</f>
        <v/>
      </c>
    </row>
    <row r="33" ht="17" customHeight="1">
      <c r="A33" s="32" t="n">
        <v>14</v>
      </c>
      <c r="B33" s="33" t="inlineStr">
        <is>
          <t>Lidy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7">
        <f>IFERROR(AVERAGEIFS($C$7:$L$7,C33:L33,"Y"),"")</f>
        <v/>
      </c>
      <c r="N33" s="26">
        <f>COUNTIF(C33:L33,"Y")</f>
        <v/>
      </c>
      <c r="O33" s="27">
        <f>SUMPRODUCT((C$7:$L$7=1)*(C33:L33="Y"))*50</f>
        <v/>
      </c>
    </row>
    <row r="34" ht="17" customHeight="1">
      <c r="A34" s="29" t="n">
        <v>15</v>
      </c>
      <c r="B34" s="30" t="inlineStr">
        <is>
          <t>Maylin</t>
        </is>
      </c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17">
        <f>IFERROR(AVERAGEIFS($C$7:$L$7,C34:L34,"Y"),"")</f>
        <v/>
      </c>
      <c r="N34" s="26">
        <f>COUNTIF(C34:L34,"Y")</f>
        <v/>
      </c>
      <c r="O34" s="27">
        <f>SUMPRODUCT((C$7:$L$7=1)*(C34:L34="Y"))*50</f>
        <v/>
      </c>
    </row>
    <row r="35" ht="17" customHeight="1">
      <c r="A35" s="32" t="n">
        <v>16</v>
      </c>
      <c r="B35" s="33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7">
        <f>IFERROR(AVERAGEIFS($C$7:$L$7,C35:L35,"Y"),"")</f>
        <v/>
      </c>
      <c r="N35" s="26">
        <f>COUNTIF(C35:L35,"Y")</f>
        <v/>
      </c>
      <c r="O35" s="27">
        <f>SUMPRODUCT((C$7:$L$7=1)*(C35:L35="Y"))*50</f>
        <v/>
      </c>
    </row>
    <row r="36" ht="17" customHeight="1">
      <c r="A36" s="29" t="n">
        <v>17</v>
      </c>
      <c r="B36" s="30" t="inlineStr">
        <is>
          <t>Richard</t>
        </is>
      </c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17">
        <f>IFERROR(AVERAGEIFS($C$7:$L$7,C36:L36,"Y"),"")</f>
        <v/>
      </c>
      <c r="N36" s="26">
        <f>COUNTIF(C36:L36,"Y")</f>
        <v/>
      </c>
      <c r="O36" s="27">
        <f>SUMPRODUCT((C$7:$L$7=1)*(C36:L36="Y"))*50</f>
        <v/>
      </c>
    </row>
    <row r="37" ht="17" customHeight="1">
      <c r="A37" s="32" t="n">
        <v>18</v>
      </c>
      <c r="B37" s="33" t="inlineStr">
        <is>
          <t>Samuel</t>
        </is>
      </c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7">
        <f>IFERROR(AVERAGEIFS($C$7:$L$7,C37:L37,"Y"),"")</f>
        <v/>
      </c>
      <c r="N37" s="26">
        <f>COUNTIF(C37:L37,"Y")</f>
        <v/>
      </c>
      <c r="O37" s="27">
        <f>SUMPRODUCT((C$7:$L$7=1)*(C37:L37="Y"))*50</f>
        <v/>
      </c>
    </row>
    <row r="38" ht="17" customHeight="1">
      <c r="A38" s="29" t="n">
        <v>19</v>
      </c>
      <c r="B38" s="30" t="inlineStr">
        <is>
          <t>Zach</t>
        </is>
      </c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17">
        <f>IFERROR(AVERAGEIFS($C$7:$L$7,C38:L38,"Y"),"")</f>
        <v/>
      </c>
      <c r="N38" s="26">
        <f>COUNTIF(C38:L38,"Y")</f>
        <v/>
      </c>
      <c r="O38" s="27">
        <f>SUMPRODUCT((C$7:$L$7=1)*(C38:L38="Y"))*50</f>
        <v/>
      </c>
    </row>
    <row r="39" ht="18" customHeight="1">
      <c r="A39" s="3" t="inlineStr"/>
      <c r="B39" s="34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5">
        <f>SUM(O14:O38)</f>
        <v/>
      </c>
    </row>
    <row r="40" ht="12" customHeight="1">
      <c r="A40" s="36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37" t="n">
        <v>0.95</v>
      </c>
      <c r="D7" s="16" t="n">
        <v>0</v>
      </c>
      <c r="E7" s="14" t="n">
        <v>1</v>
      </c>
      <c r="F7" s="3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37" t="n">
        <v>0.95</v>
      </c>
      <c r="O7" s="17">
        <f>IFERROR(AVERAGE(C7:N7),"")</f>
        <v/>
      </c>
      <c r="P7" s="12" t="inlineStr"/>
      <c r="Q7" s="12" t="inlineStr"/>
    </row>
    <row r="8" ht="13" customHeight="1">
      <c r="A8" s="18" t="inlineStr"/>
      <c r="B8" s="19" t="inlineStr">
        <is>
          <t>Service</t>
        </is>
      </c>
      <c r="C8" s="18" t="inlineStr"/>
      <c r="D8" s="18" t="inlineStr"/>
      <c r="E8" s="18" t="inlineStr"/>
      <c r="F8" s="18" t="inlineStr"/>
      <c r="G8" s="18" t="inlineStr"/>
      <c r="H8" s="18" t="inlineStr"/>
      <c r="I8" s="38" t="n">
        <v>1</v>
      </c>
      <c r="J8" s="38" t="n">
        <v>1</v>
      </c>
      <c r="K8" s="39" t="n">
        <v>0.6899999999999999</v>
      </c>
      <c r="L8" s="38" t="n">
        <v>1</v>
      </c>
      <c r="M8" s="38" t="n">
        <v>1</v>
      </c>
      <c r="N8" s="40" t="n">
        <v>0.95</v>
      </c>
      <c r="O8" s="20">
        <f>IFERROR(AVERAGE(C8:N8),"")</f>
        <v/>
      </c>
      <c r="P8" s="18" t="inlineStr"/>
      <c r="Q8" s="18" t="inlineStr"/>
    </row>
    <row r="9" ht="13" customHeight="1">
      <c r="A9" s="18" t="inlineStr"/>
      <c r="B9" s="19" t="inlineStr">
        <is>
          <t>Quality</t>
        </is>
      </c>
      <c r="C9" s="18" t="inlineStr"/>
      <c r="D9" s="18" t="inlineStr"/>
      <c r="E9" s="18" t="inlineStr"/>
      <c r="F9" s="18" t="inlineStr"/>
      <c r="G9" s="18" t="inlineStr"/>
      <c r="H9" s="18" t="inlineStr"/>
      <c r="I9" s="38" t="n">
        <v>1</v>
      </c>
      <c r="J9" s="38" t="n">
        <v>1</v>
      </c>
      <c r="K9" s="38" t="n">
        <v>1</v>
      </c>
      <c r="L9" s="38" t="n">
        <v>1</v>
      </c>
      <c r="M9" s="38" t="n">
        <v>1</v>
      </c>
      <c r="N9" s="38" t="n">
        <v>1</v>
      </c>
      <c r="O9" s="20">
        <f>IFERROR(AVERAGE(C9:N9),"")</f>
        <v/>
      </c>
      <c r="P9" s="18" t="inlineStr"/>
      <c r="Q9" s="18" t="inlineStr"/>
    </row>
    <row r="10" ht="13" customHeight="1">
      <c r="A10" s="18" t="inlineStr"/>
      <c r="B10" s="19" t="inlineStr">
        <is>
          <t>Cleanliness</t>
        </is>
      </c>
      <c r="C10" s="18" t="inlineStr"/>
      <c r="D10" s="18" t="inlineStr"/>
      <c r="E10" s="18" t="inlineStr"/>
      <c r="F10" s="18" t="inlineStr"/>
      <c r="G10" s="18" t="inlineStr"/>
      <c r="H10" s="18" t="inlineStr"/>
      <c r="I10" s="38" t="n">
        <v>1</v>
      </c>
      <c r="J10" s="38" t="n">
        <v>1</v>
      </c>
      <c r="K10" s="38" t="n">
        <v>1</v>
      </c>
      <c r="L10" s="38" t="n">
        <v>1</v>
      </c>
      <c r="M10" s="38" t="n">
        <v>1</v>
      </c>
      <c r="N10" s="38" t="n">
        <v>1</v>
      </c>
      <c r="O10" s="20">
        <f>IFERROR(AVERAGE(C10:N10),"")</f>
        <v/>
      </c>
      <c r="P10" s="18" t="inlineStr"/>
      <c r="Q10" s="18" t="inlineStr"/>
    </row>
    <row r="11" ht="13" customHeight="1">
      <c r="A11" s="18" t="inlineStr"/>
      <c r="B11" s="19" t="inlineStr">
        <is>
          <t>Customer Sat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38" t="n">
        <v>1</v>
      </c>
      <c r="J11" s="38" t="n">
        <v>1</v>
      </c>
      <c r="K11" s="38" t="n">
        <v>1</v>
      </c>
      <c r="L11" s="38" t="n">
        <v>1</v>
      </c>
      <c r="M11" s="38" t="n">
        <v>1</v>
      </c>
      <c r="N11" s="38" t="n">
        <v>1</v>
      </c>
      <c r="O11" s="20">
        <f>IFERROR(AVERAGE(C11:N11),"")</f>
        <v/>
      </c>
      <c r="P11" s="18" t="inlineStr"/>
      <c r="Q11" s="18" t="inlineStr"/>
    </row>
    <row r="12" ht="6" customHeight="1">
      <c r="A12" s="21" t="n"/>
    </row>
    <row r="13" ht="18" customHeight="1">
      <c r="A13" s="22" t="inlineStr">
        <is>
          <t>MANAGERS</t>
        </is>
      </c>
    </row>
    <row r="14" ht="17" customHeight="1">
      <c r="A14" s="23" t="n">
        <v>1</v>
      </c>
      <c r="B14" s="24" t="inlineStr">
        <is>
          <t>Madison C.</t>
        </is>
      </c>
      <c r="C14" s="25" t="n"/>
      <c r="D14" s="25" t="n"/>
      <c r="E14" s="25" t="n"/>
      <c r="F14" s="25" t="n"/>
      <c r="G14" s="25" t="n"/>
      <c r="H14" s="25" t="n"/>
      <c r="I14" s="41" t="inlineStr">
        <is>
          <t>Y</t>
        </is>
      </c>
      <c r="J14" s="41" t="inlineStr">
        <is>
          <t>Y</t>
        </is>
      </c>
      <c r="K14" s="25" t="n"/>
      <c r="L14" s="41" t="inlineStr">
        <is>
          <t>Y</t>
        </is>
      </c>
      <c r="M14" s="25" t="n"/>
      <c r="N14" s="41" t="inlineStr">
        <is>
          <t>Y</t>
        </is>
      </c>
      <c r="O14" s="17">
        <f>IFERROR(AVERAGEIFS($C$7:$N$7,C14:N14,"Y"),"")</f>
        <v/>
      </c>
      <c r="P14" s="26">
        <f>COUNTIF(C14:N14,"Y")</f>
        <v/>
      </c>
      <c r="Q14" s="27">
        <f>SUMPRODUCT((C$7:$N$7=1)*(C14:N14="Y"))*50</f>
        <v/>
      </c>
    </row>
    <row r="15" ht="17" customHeight="1">
      <c r="A15" s="23" t="n">
        <v>2</v>
      </c>
      <c r="B15" s="24" t="inlineStr">
        <is>
          <t>Vicki L.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41" t="inlineStr">
        <is>
          <t>Y</t>
        </is>
      </c>
      <c r="L15" s="25" t="n"/>
      <c r="M15" s="41" t="inlineStr">
        <is>
          <t>Y</t>
        </is>
      </c>
      <c r="N15" s="25" t="n"/>
      <c r="O15" s="17">
        <f>IFERROR(AVERAGEIFS($C$7:$N$7,C15:N15,"Y"),"")</f>
        <v/>
      </c>
      <c r="P15" s="26">
        <f>COUNTIF(C15:N15,"Y")</f>
        <v/>
      </c>
      <c r="Q15" s="27">
        <f>SUMPRODUCT((C$7:$N$7=1)*(C15:N15="Y"))*50</f>
        <v/>
      </c>
    </row>
    <row r="16" ht="17" customHeight="1">
      <c r="A16" s="23" t="n">
        <v>3</v>
      </c>
      <c r="B16" s="24" t="inlineStr">
        <is>
          <t>Kasey W.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41" t="inlineStr">
        <is>
          <t>Y</t>
        </is>
      </c>
      <c r="M16" s="25" t="n"/>
      <c r="N16" s="41" t="inlineStr">
        <is>
          <t>Y</t>
        </is>
      </c>
      <c r="O16" s="17">
        <f>IFERROR(AVERAGEIFS($C$7:$N$7,C16:N16,"Y"),"")</f>
        <v/>
      </c>
      <c r="P16" s="26">
        <f>COUNTIF(C16:N16,"Y")</f>
        <v/>
      </c>
      <c r="Q16" s="27">
        <f>SUMPRODUCT((C$7:$N$7=1)*(C16:N16="Y"))*50</f>
        <v/>
      </c>
    </row>
    <row r="17" ht="17" customHeight="1">
      <c r="A17" s="23" t="n">
        <v>4</v>
      </c>
      <c r="B17" s="24" t="inlineStr">
        <is>
          <t>Nathan R.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17">
        <f>IFERROR(AVERAGEIFS($C$7:$N$7,C17:N17,"Y"),"")</f>
        <v/>
      </c>
      <c r="P17" s="26">
        <f>COUNTIF(C17:N17,"Y")</f>
        <v/>
      </c>
      <c r="Q17" s="27">
        <f>SUMPRODUCT((C$7:$N$7=1)*(C17:N17="Y"))*50</f>
        <v/>
      </c>
    </row>
    <row r="18" ht="6" customHeight="1">
      <c r="A18" s="21" t="n"/>
    </row>
    <row r="19" ht="18" customHeight="1">
      <c r="A19" s="28" t="inlineStr">
        <is>
          <t>CREW</t>
        </is>
      </c>
    </row>
    <row r="20" ht="17" customHeight="1">
      <c r="A20" s="29" t="n">
        <v>1</v>
      </c>
      <c r="B20" s="30" t="inlineStr">
        <is>
          <t>Alen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17">
        <f>IFERROR(AVERAGEIFS($C$7:$N$7,C20:N20,"Y"),"")</f>
        <v/>
      </c>
      <c r="P20" s="26">
        <f>COUNTIF(C20:N20,"Y")</f>
        <v/>
      </c>
      <c r="Q20" s="27">
        <f>SUMPRODUCT((C$7:$N$7=1)*(C20:N20="Y"))*50</f>
        <v/>
      </c>
    </row>
    <row r="21" ht="17" customHeight="1">
      <c r="A21" s="32" t="n">
        <v>2</v>
      </c>
      <c r="B21" s="33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7">
        <f>IFERROR(AVERAGEIFS($C$7:$N$7,C21:N21,"Y"),"")</f>
        <v/>
      </c>
      <c r="P21" s="26">
        <f>COUNTIF(C21:N21,"Y")</f>
        <v/>
      </c>
      <c r="Q21" s="27">
        <f>SUMPRODUCT((C$7:$N$7=1)*(C21:N21="Y"))*50</f>
        <v/>
      </c>
    </row>
    <row r="22" ht="17" customHeight="1">
      <c r="A22" s="29" t="n">
        <v>3</v>
      </c>
      <c r="B22" s="30" t="inlineStr">
        <is>
          <t>Autumn</t>
        </is>
      </c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41" t="inlineStr">
        <is>
          <t>Y</t>
        </is>
      </c>
      <c r="O22" s="17">
        <f>IFERROR(AVERAGEIFS($C$7:$N$7,C22:N22,"Y"),"")</f>
        <v/>
      </c>
      <c r="P22" s="26">
        <f>COUNTIF(C22:N22,"Y")</f>
        <v/>
      </c>
      <c r="Q22" s="27">
        <f>SUMPRODUCT((C$7:$N$7=1)*(C22:N22="Y"))*50</f>
        <v/>
      </c>
    </row>
    <row r="23" ht="17" customHeight="1">
      <c r="A23" s="32" t="n">
        <v>4</v>
      </c>
      <c r="B23" s="33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7">
        <f>IFERROR(AVERAGEIFS($C$7:$N$7,C23:N23,"Y"),"")</f>
        <v/>
      </c>
      <c r="P23" s="26">
        <f>COUNTIF(C23:N23,"Y")</f>
        <v/>
      </c>
      <c r="Q23" s="27">
        <f>SUMPRODUCT((C$7:$N$7=1)*(C23:N23="Y"))*50</f>
        <v/>
      </c>
    </row>
    <row r="24" ht="17" customHeight="1">
      <c r="A24" s="29" t="n">
        <v>5</v>
      </c>
      <c r="B24" s="30" t="inlineStr">
        <is>
          <t>Dakayla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17">
        <f>IFERROR(AVERAGEIFS($C$7:$N$7,C24:N24,"Y"),"")</f>
        <v/>
      </c>
      <c r="P24" s="26">
        <f>COUNTIF(C24:N24,"Y")</f>
        <v/>
      </c>
      <c r="Q24" s="27">
        <f>SUMPRODUCT((C$7:$N$7=1)*(C24:N24="Y"))*50</f>
        <v/>
      </c>
    </row>
    <row r="25" ht="17" customHeight="1">
      <c r="A25" s="32" t="n">
        <v>6</v>
      </c>
      <c r="B25" s="33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7">
        <f>IFERROR(AVERAGEIFS($C$7:$N$7,C25:N25,"Y"),"")</f>
        <v/>
      </c>
      <c r="P25" s="26">
        <f>COUNTIF(C25:N25,"Y")</f>
        <v/>
      </c>
      <c r="Q25" s="27">
        <f>SUMPRODUCT((C$7:$N$7=1)*(C25:N25="Y"))*50</f>
        <v/>
      </c>
    </row>
    <row r="26" ht="17" customHeight="1">
      <c r="A26" s="29" t="n">
        <v>7</v>
      </c>
      <c r="B26" s="30" t="inlineStr">
        <is>
          <t>Francisco</t>
        </is>
      </c>
      <c r="C26" s="31" t="n"/>
      <c r="D26" s="31" t="n"/>
      <c r="E26" s="31" t="n"/>
      <c r="F26" s="31" t="n"/>
      <c r="G26" s="31" t="n"/>
      <c r="H26" s="31" t="n"/>
      <c r="I26" s="41" t="inlineStr">
        <is>
          <t>Y</t>
        </is>
      </c>
      <c r="J26" s="31" t="n"/>
      <c r="K26" s="41" t="inlineStr">
        <is>
          <t>Y</t>
        </is>
      </c>
      <c r="L26" s="31" t="n"/>
      <c r="M26" s="41" t="inlineStr">
        <is>
          <t>Y</t>
        </is>
      </c>
      <c r="N26" s="31" t="n"/>
      <c r="O26" s="17">
        <f>IFERROR(AVERAGEIFS($C$7:$N$7,C26:N26,"Y"),"")</f>
        <v/>
      </c>
      <c r="P26" s="26">
        <f>COUNTIF(C26:N26,"Y")</f>
        <v/>
      </c>
      <c r="Q26" s="27">
        <f>SUMPRODUCT((C$7:$N$7=1)*(C26:N26="Y"))*50</f>
        <v/>
      </c>
    </row>
    <row r="27" ht="17" customHeight="1">
      <c r="A27" s="32" t="n">
        <v>8</v>
      </c>
      <c r="B27" s="33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7">
        <f>IFERROR(AVERAGEIFS($C$7:$N$7,C27:N27,"Y"),"")</f>
        <v/>
      </c>
      <c r="P27" s="26">
        <f>COUNTIF(C27:N27,"Y")</f>
        <v/>
      </c>
      <c r="Q27" s="27">
        <f>SUMPRODUCT((C$7:$N$7=1)*(C27:N27="Y"))*50</f>
        <v/>
      </c>
    </row>
    <row r="28" ht="17" customHeight="1">
      <c r="A28" s="29" t="n">
        <v>9</v>
      </c>
      <c r="B28" s="30" t="inlineStr">
        <is>
          <t>Jada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41" t="inlineStr">
        <is>
          <t>Y</t>
        </is>
      </c>
      <c r="M28" s="31" t="n"/>
      <c r="N28" s="41" t="inlineStr">
        <is>
          <t>Y</t>
        </is>
      </c>
      <c r="O28" s="17">
        <f>IFERROR(AVERAGEIFS($C$7:$N$7,C28:N28,"Y"),"")</f>
        <v/>
      </c>
      <c r="P28" s="26">
        <f>COUNTIF(C28:N28,"Y")</f>
        <v/>
      </c>
      <c r="Q28" s="27">
        <f>SUMPRODUCT((C$7:$N$7=1)*(C28:N28="Y"))*50</f>
        <v/>
      </c>
    </row>
    <row r="29" ht="17" customHeight="1">
      <c r="A29" s="32" t="n">
        <v>10</v>
      </c>
      <c r="B29" s="33" t="inlineStr">
        <is>
          <t>Jeremiah</t>
        </is>
      </c>
      <c r="C29" s="18" t="n"/>
      <c r="D29" s="18" t="n"/>
      <c r="E29" s="18" t="n"/>
      <c r="F29" s="18" t="n"/>
      <c r="G29" s="18" t="n"/>
      <c r="H29" s="18" t="n"/>
      <c r="I29" s="41" t="inlineStr">
        <is>
          <t>Y</t>
        </is>
      </c>
      <c r="J29" s="18" t="n"/>
      <c r="K29" s="18" t="n"/>
      <c r="L29" s="41" t="inlineStr">
        <is>
          <t>Y</t>
        </is>
      </c>
      <c r="M29" s="41" t="inlineStr">
        <is>
          <t>Y</t>
        </is>
      </c>
      <c r="N29" s="41" t="inlineStr">
        <is>
          <t>Y</t>
        </is>
      </c>
      <c r="O29" s="17">
        <f>IFERROR(AVERAGEIFS($C$7:$N$7,C29:N29,"Y"),"")</f>
        <v/>
      </c>
      <c r="P29" s="26">
        <f>COUNTIF(C29:N29,"Y")</f>
        <v/>
      </c>
      <c r="Q29" s="27">
        <f>SUMPRODUCT((C$7:$N$7=1)*(C29:N29="Y"))*50</f>
        <v/>
      </c>
    </row>
    <row r="30" ht="17" customHeight="1">
      <c r="A30" s="29" t="n">
        <v>11</v>
      </c>
      <c r="B30" s="30" t="inlineStr">
        <is>
          <t>Kable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17">
        <f>IFERROR(AVERAGEIFS($C$7:$N$7,C30:N30,"Y"),"")</f>
        <v/>
      </c>
      <c r="P30" s="26">
        <f>COUNTIF(C30:N30,"Y")</f>
        <v/>
      </c>
      <c r="Q30" s="27">
        <f>SUMPRODUCT((C$7:$N$7=1)*(C30:N30="Y"))*50</f>
        <v/>
      </c>
    </row>
    <row r="31" ht="17" customHeight="1">
      <c r="A31" s="32" t="n">
        <v>12</v>
      </c>
      <c r="B31" s="33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7">
        <f>IFERROR(AVERAGEIFS($C$7:$N$7,C31:N31,"Y"),"")</f>
        <v/>
      </c>
      <c r="P31" s="26">
        <f>COUNTIF(C31:N31,"Y")</f>
        <v/>
      </c>
      <c r="Q31" s="27">
        <f>SUMPRODUCT((C$7:$N$7=1)*(C31:N31="Y"))*50</f>
        <v/>
      </c>
    </row>
    <row r="32" ht="17" customHeight="1">
      <c r="A32" s="29" t="n">
        <v>13</v>
      </c>
      <c r="B32" s="30" t="inlineStr">
        <is>
          <t>Kenzie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17">
        <f>IFERROR(AVERAGEIFS($C$7:$N$7,C32:N32,"Y"),"")</f>
        <v/>
      </c>
      <c r="P32" s="26">
        <f>COUNTIF(C32:N32,"Y")</f>
        <v/>
      </c>
      <c r="Q32" s="27">
        <f>SUMPRODUCT((C$7:$N$7=1)*(C32:N32="Y"))*50</f>
        <v/>
      </c>
    </row>
    <row r="33" ht="17" customHeight="1">
      <c r="A33" s="32" t="n">
        <v>14</v>
      </c>
      <c r="B33" s="33" t="inlineStr">
        <is>
          <t>Lidy</t>
        </is>
      </c>
      <c r="C33" s="18" t="n"/>
      <c r="D33" s="18" t="n"/>
      <c r="E33" s="18" t="n"/>
      <c r="F33" s="18" t="n"/>
      <c r="G33" s="18" t="n"/>
      <c r="H33" s="18" t="n"/>
      <c r="I33" s="41" t="inlineStr">
        <is>
          <t>Y</t>
        </is>
      </c>
      <c r="J33" s="18" t="n"/>
      <c r="K33" s="41" t="inlineStr">
        <is>
          <t>Y</t>
        </is>
      </c>
      <c r="L33" s="18" t="n"/>
      <c r="M33" s="41" t="inlineStr">
        <is>
          <t>Y</t>
        </is>
      </c>
      <c r="N33" s="18" t="n"/>
      <c r="O33" s="17">
        <f>IFERROR(AVERAGEIFS($C$7:$N$7,C33:N33,"Y"),"")</f>
        <v/>
      </c>
      <c r="P33" s="26">
        <f>COUNTIF(C33:N33,"Y")</f>
        <v/>
      </c>
      <c r="Q33" s="27">
        <f>SUMPRODUCT((C$7:$N$7=1)*(C33:N33="Y"))*50</f>
        <v/>
      </c>
    </row>
    <row r="34" ht="17" customHeight="1">
      <c r="A34" s="29" t="n">
        <v>15</v>
      </c>
      <c r="B34" s="30" t="inlineStr">
        <is>
          <t>Maylin</t>
        </is>
      </c>
      <c r="C34" s="31" t="n"/>
      <c r="D34" s="31" t="n"/>
      <c r="E34" s="31" t="n"/>
      <c r="F34" s="31" t="n"/>
      <c r="G34" s="31" t="n"/>
      <c r="H34" s="31" t="n"/>
      <c r="I34" s="31" t="n"/>
      <c r="J34" s="41" t="inlineStr">
        <is>
          <t>Y</t>
        </is>
      </c>
      <c r="K34" s="41" t="inlineStr">
        <is>
          <t>Y</t>
        </is>
      </c>
      <c r="L34" s="41" t="inlineStr">
        <is>
          <t>Y</t>
        </is>
      </c>
      <c r="M34" s="41" t="inlineStr">
        <is>
          <t>Y</t>
        </is>
      </c>
      <c r="N34" s="31" t="n"/>
      <c r="O34" s="17">
        <f>IFERROR(AVERAGEIFS($C$7:$N$7,C34:N34,"Y"),"")</f>
        <v/>
      </c>
      <c r="P34" s="26">
        <f>COUNTIF(C34:N34,"Y")</f>
        <v/>
      </c>
      <c r="Q34" s="27">
        <f>SUMPRODUCT((C$7:$N$7=1)*(C34:N34="Y"))*50</f>
        <v/>
      </c>
    </row>
    <row r="35" ht="17" customHeight="1">
      <c r="A35" s="32" t="n">
        <v>16</v>
      </c>
      <c r="B35" s="33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41" t="inlineStr">
        <is>
          <t>Y</t>
        </is>
      </c>
      <c r="J35" s="18" t="n"/>
      <c r="K35" s="41" t="inlineStr">
        <is>
          <t>Y</t>
        </is>
      </c>
      <c r="L35" s="18" t="n"/>
      <c r="M35" s="41" t="inlineStr">
        <is>
          <t>Y</t>
        </is>
      </c>
      <c r="N35" s="41" t="inlineStr">
        <is>
          <t>Y</t>
        </is>
      </c>
      <c r="O35" s="17">
        <f>IFERROR(AVERAGEIFS($C$7:$N$7,C35:N35,"Y"),"")</f>
        <v/>
      </c>
      <c r="P35" s="26">
        <f>COUNTIF(C35:N35,"Y")</f>
        <v/>
      </c>
      <c r="Q35" s="27">
        <f>SUMPRODUCT((C$7:$N$7=1)*(C35:N35="Y"))*50</f>
        <v/>
      </c>
    </row>
    <row r="36" ht="17" customHeight="1">
      <c r="A36" s="29" t="n">
        <v>17</v>
      </c>
      <c r="B36" s="30" t="inlineStr">
        <is>
          <t>Richard</t>
        </is>
      </c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17">
        <f>IFERROR(AVERAGEIFS($C$7:$N$7,C36:N36,"Y"),"")</f>
        <v/>
      </c>
      <c r="P36" s="26">
        <f>COUNTIF(C36:N36,"Y")</f>
        <v/>
      </c>
      <c r="Q36" s="27">
        <f>SUMPRODUCT((C$7:$N$7=1)*(C36:N36="Y"))*50</f>
        <v/>
      </c>
    </row>
    <row r="37" ht="17" customHeight="1">
      <c r="A37" s="32" t="n">
        <v>18</v>
      </c>
      <c r="B37" s="33" t="inlineStr">
        <is>
          <t>Samuel</t>
        </is>
      </c>
      <c r="C37" s="18" t="n"/>
      <c r="D37" s="18" t="n"/>
      <c r="E37" s="18" t="n"/>
      <c r="F37" s="18" t="n"/>
      <c r="G37" s="18" t="n"/>
      <c r="H37" s="18" t="n"/>
      <c r="I37" s="18" t="n"/>
      <c r="J37" s="41" t="inlineStr">
        <is>
          <t>Y</t>
        </is>
      </c>
      <c r="K37" s="18" t="n"/>
      <c r="L37" s="41" t="inlineStr">
        <is>
          <t>Y</t>
        </is>
      </c>
      <c r="M37" s="18" t="n"/>
      <c r="N37" s="18" t="n"/>
      <c r="O37" s="17">
        <f>IFERROR(AVERAGEIFS($C$7:$N$7,C37:N37,"Y"),"")</f>
        <v/>
      </c>
      <c r="P37" s="26">
        <f>COUNTIF(C37:N37,"Y")</f>
        <v/>
      </c>
      <c r="Q37" s="27">
        <f>SUMPRODUCT((C$7:$N$7=1)*(C37:N37="Y"))*50</f>
        <v/>
      </c>
    </row>
    <row r="38" ht="17" customHeight="1">
      <c r="A38" s="29" t="n">
        <v>19</v>
      </c>
      <c r="B38" s="30" t="inlineStr">
        <is>
          <t>Zach</t>
        </is>
      </c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17">
        <f>IFERROR(AVERAGEIFS($C$7:$N$7,C38:N38,"Y"),"")</f>
        <v/>
      </c>
      <c r="P38" s="26">
        <f>COUNTIF(C38:N38,"Y")</f>
        <v/>
      </c>
      <c r="Q38" s="27">
        <f>SUMPRODUCT((C$7:$N$7=1)*(C38:N38="Y"))*50</f>
        <v/>
      </c>
    </row>
    <row r="39" ht="18" customHeight="1">
      <c r="A39" s="3" t="inlineStr"/>
      <c r="B39" s="34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5">
        <f>SUM(Q14:Q38)</f>
        <v/>
      </c>
    </row>
    <row r="40" ht="12" customHeight="1">
      <c r="A40" s="36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7">
        <f>IFERROR(AVERAGE(C7:P7),"")</f>
        <v/>
      </c>
      <c r="R7" s="12" t="inlineStr"/>
      <c r="S7" s="12" t="inlineStr"/>
    </row>
    <row r="8" ht="13" customHeight="1">
      <c r="A8" s="18" t="inlineStr"/>
      <c r="B8" s="19" t="inlineStr">
        <is>
          <t>Service</t>
        </is>
      </c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39" t="n">
        <v>0.72</v>
      </c>
      <c r="M8" s="38" t="n">
        <v>1</v>
      </c>
      <c r="N8" s="39" t="n">
        <v>0.72</v>
      </c>
      <c r="O8" s="39" t="n">
        <v>0.77</v>
      </c>
      <c r="P8" s="38" t="n">
        <v>1</v>
      </c>
      <c r="Q8" s="20">
        <f>IFERROR(AVERAGE(C8:P8),"")</f>
        <v/>
      </c>
      <c r="R8" s="18" t="inlineStr"/>
      <c r="S8" s="18" t="inlineStr"/>
    </row>
    <row r="9" ht="13" customHeight="1">
      <c r="A9" s="18" t="inlineStr"/>
      <c r="B9" s="19" t="inlineStr">
        <is>
          <t>Quality</t>
        </is>
      </c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38" t="n">
        <v>1</v>
      </c>
      <c r="M9" s="38" t="n">
        <v>1</v>
      </c>
      <c r="N9" s="38" t="n">
        <v>1</v>
      </c>
      <c r="O9" s="38" t="n">
        <v>1</v>
      </c>
      <c r="P9" s="38" t="n">
        <v>1</v>
      </c>
      <c r="Q9" s="20">
        <f>IFERROR(AVERAGE(C9:P9),"")</f>
        <v/>
      </c>
      <c r="R9" s="18" t="inlineStr"/>
      <c r="S9" s="18" t="inlineStr"/>
    </row>
    <row r="10" ht="13" customHeight="1">
      <c r="A10" s="18" t="inlineStr"/>
      <c r="B10" s="19" t="inlineStr">
        <is>
          <t>Cleanliness</t>
        </is>
      </c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38" t="n">
        <v>1</v>
      </c>
      <c r="M10" s="42" t="n">
        <v>0.8</v>
      </c>
      <c r="N10" s="38" t="n">
        <v>1</v>
      </c>
      <c r="O10" s="39" t="n">
        <v>0.72</v>
      </c>
      <c r="P10" s="38" t="n">
        <v>1</v>
      </c>
      <c r="Q10" s="20">
        <f>IFERROR(AVERAGE(C10:P10),"")</f>
        <v/>
      </c>
      <c r="R10" s="18" t="inlineStr"/>
      <c r="S10" s="18" t="inlineStr"/>
    </row>
    <row r="11" ht="13" customHeight="1">
      <c r="A11" s="18" t="inlineStr"/>
      <c r="B11" s="19" t="inlineStr">
        <is>
          <t>Customer Sat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38" t="n">
        <v>1</v>
      </c>
      <c r="M11" s="38" t="n">
        <v>1</v>
      </c>
      <c r="N11" s="38" t="n">
        <v>1</v>
      </c>
      <c r="O11" s="38" t="n">
        <v>1</v>
      </c>
      <c r="P11" s="38" t="n">
        <v>1</v>
      </c>
      <c r="Q11" s="20">
        <f>IFERROR(AVERAGE(C11:P11),"")</f>
        <v/>
      </c>
      <c r="R11" s="18" t="inlineStr"/>
      <c r="S11" s="18" t="inlineStr"/>
    </row>
    <row r="12" ht="6" customHeight="1">
      <c r="A12" s="21" t="n"/>
    </row>
    <row r="13" ht="18" customHeight="1">
      <c r="A13" s="22" t="inlineStr">
        <is>
          <t>MANAGERS</t>
        </is>
      </c>
    </row>
    <row r="14" ht="17" customHeight="1">
      <c r="A14" s="23" t="n">
        <v>1</v>
      </c>
      <c r="B14" s="24" t="inlineStr">
        <is>
          <t>Madison C.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41" t="inlineStr">
        <is>
          <t>Y</t>
        </is>
      </c>
      <c r="M14" s="41" t="inlineStr">
        <is>
          <t>Y</t>
        </is>
      </c>
      <c r="N14" s="25" t="n"/>
      <c r="O14" s="41" t="inlineStr">
        <is>
          <t>Y</t>
        </is>
      </c>
      <c r="P14" s="41" t="inlineStr">
        <is>
          <t>Y</t>
        </is>
      </c>
      <c r="Q14" s="17">
        <f>IFERROR(AVERAGEIFS($C$7:$P$7,C14:P14,"Y"),"")</f>
        <v/>
      </c>
      <c r="R14" s="26">
        <f>COUNTIF(C14:P14,"Y")</f>
        <v/>
      </c>
      <c r="S14" s="27">
        <f>SUMPRODUCT((C$7:$P$7=1)*(C14:P14="Y"))*50</f>
        <v/>
      </c>
    </row>
    <row r="15" ht="17" customHeight="1">
      <c r="A15" s="23" t="n">
        <v>2</v>
      </c>
      <c r="B15" s="24" t="inlineStr">
        <is>
          <t>Vicki L.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41" t="inlineStr">
        <is>
          <t>Y</t>
        </is>
      </c>
      <c r="O15" s="25" t="n"/>
      <c r="P15" s="41" t="inlineStr">
        <is>
          <t>Y</t>
        </is>
      </c>
      <c r="Q15" s="17">
        <f>IFERROR(AVERAGEIFS($C$7:$P$7,C15:P15,"Y"),"")</f>
        <v/>
      </c>
      <c r="R15" s="26">
        <f>COUNTIF(C15:P15,"Y")</f>
        <v/>
      </c>
      <c r="S15" s="27">
        <f>SUMPRODUCT((C$7:$P$7=1)*(C15:P15="Y"))*50</f>
        <v/>
      </c>
    </row>
    <row r="16" ht="17" customHeight="1">
      <c r="A16" s="23" t="n">
        <v>3</v>
      </c>
      <c r="B16" s="24" t="inlineStr">
        <is>
          <t>Kasey W.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41" t="inlineStr">
        <is>
          <t>Y</t>
        </is>
      </c>
      <c r="M16" s="25" t="n"/>
      <c r="N16" s="41" t="inlineStr">
        <is>
          <t>Y</t>
        </is>
      </c>
      <c r="O16" s="25" t="n"/>
      <c r="P16" s="25" t="n"/>
      <c r="Q16" s="17">
        <f>IFERROR(AVERAGEIFS($C$7:$P$7,C16:P16,"Y"),"")</f>
        <v/>
      </c>
      <c r="R16" s="26">
        <f>COUNTIF(C16:P16,"Y")</f>
        <v/>
      </c>
      <c r="S16" s="27">
        <f>SUMPRODUCT((C$7:$P$7=1)*(C16:P16="Y"))*50</f>
        <v/>
      </c>
    </row>
    <row r="17" ht="17" customHeight="1">
      <c r="A17" s="23" t="n">
        <v>4</v>
      </c>
      <c r="B17" s="24" t="inlineStr">
        <is>
          <t>Nathan R.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41" t="inlineStr">
        <is>
          <t>Y</t>
        </is>
      </c>
      <c r="Q17" s="17">
        <f>IFERROR(AVERAGEIFS($C$7:$P$7,C17:P17,"Y"),"")</f>
        <v/>
      </c>
      <c r="R17" s="26">
        <f>COUNTIF(C17:P17,"Y")</f>
        <v/>
      </c>
      <c r="S17" s="27">
        <f>SUMPRODUCT((C$7:$P$7=1)*(C17:P17="Y"))*50</f>
        <v/>
      </c>
    </row>
    <row r="18" ht="6" customHeight="1">
      <c r="A18" s="21" t="n"/>
    </row>
    <row r="19" ht="18" customHeight="1">
      <c r="A19" s="28" t="inlineStr">
        <is>
          <t>CREW</t>
        </is>
      </c>
    </row>
    <row r="20" ht="17" customHeight="1">
      <c r="A20" s="29" t="n">
        <v>1</v>
      </c>
      <c r="B20" s="30" t="inlineStr">
        <is>
          <t>Alen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17">
        <f>IFERROR(AVERAGEIFS($C$7:$P$7,C20:P20,"Y"),"")</f>
        <v/>
      </c>
      <c r="R20" s="26">
        <f>COUNTIF(C20:P20,"Y")</f>
        <v/>
      </c>
      <c r="S20" s="27">
        <f>SUMPRODUCT((C$7:$P$7=1)*(C20:P20="Y"))*50</f>
        <v/>
      </c>
    </row>
    <row r="21" ht="17" customHeight="1">
      <c r="A21" s="32" t="n">
        <v>2</v>
      </c>
      <c r="B21" s="33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7">
        <f>IFERROR(AVERAGEIFS($C$7:$P$7,C21:P21,"Y"),"")</f>
        <v/>
      </c>
      <c r="R21" s="26">
        <f>COUNTIF(C21:P21,"Y")</f>
        <v/>
      </c>
      <c r="S21" s="27">
        <f>SUMPRODUCT((C$7:$P$7=1)*(C21:P21="Y"))*50</f>
        <v/>
      </c>
    </row>
    <row r="22" ht="17" customHeight="1">
      <c r="A22" s="29" t="n">
        <v>3</v>
      </c>
      <c r="B22" s="30" t="inlineStr">
        <is>
          <t>Autumn</t>
        </is>
      </c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41" t="inlineStr">
        <is>
          <t>Y</t>
        </is>
      </c>
      <c r="M22" s="31" t="n"/>
      <c r="N22" s="31" t="n"/>
      <c r="O22" s="41" t="inlineStr">
        <is>
          <t>Y</t>
        </is>
      </c>
      <c r="P22" s="31" t="n"/>
      <c r="Q22" s="17">
        <f>IFERROR(AVERAGEIFS($C$7:$P$7,C22:P22,"Y"),"")</f>
        <v/>
      </c>
      <c r="R22" s="26">
        <f>COUNTIF(C22:P22,"Y")</f>
        <v/>
      </c>
      <c r="S22" s="27">
        <f>SUMPRODUCT((C$7:$P$7=1)*(C22:P22="Y"))*50</f>
        <v/>
      </c>
    </row>
    <row r="23" ht="17" customHeight="1">
      <c r="A23" s="32" t="n">
        <v>4</v>
      </c>
      <c r="B23" s="33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41" t="inlineStr">
        <is>
          <t>Y</t>
        </is>
      </c>
      <c r="O23" s="18" t="n"/>
      <c r="P23" s="18" t="n"/>
      <c r="Q23" s="17">
        <f>IFERROR(AVERAGEIFS($C$7:$P$7,C23:P23,"Y"),"")</f>
        <v/>
      </c>
      <c r="R23" s="26">
        <f>COUNTIF(C23:P23,"Y")</f>
        <v/>
      </c>
      <c r="S23" s="27">
        <f>SUMPRODUCT((C$7:$P$7=1)*(C23:P23="Y"))*50</f>
        <v/>
      </c>
    </row>
    <row r="24" ht="17" customHeight="1">
      <c r="A24" s="29" t="n">
        <v>5</v>
      </c>
      <c r="B24" s="30" t="inlineStr">
        <is>
          <t>Dakayla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17">
        <f>IFERROR(AVERAGEIFS($C$7:$P$7,C24:P24,"Y"),"")</f>
        <v/>
      </c>
      <c r="R24" s="26">
        <f>COUNTIF(C24:P24,"Y")</f>
        <v/>
      </c>
      <c r="S24" s="27">
        <f>SUMPRODUCT((C$7:$P$7=1)*(C24:P24="Y"))*50</f>
        <v/>
      </c>
    </row>
    <row r="25" ht="17" customHeight="1">
      <c r="A25" s="32" t="n">
        <v>6</v>
      </c>
      <c r="B25" s="33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7">
        <f>IFERROR(AVERAGEIFS($C$7:$P$7,C25:P25,"Y"),"")</f>
        <v/>
      </c>
      <c r="R25" s="26">
        <f>COUNTIF(C25:P25,"Y")</f>
        <v/>
      </c>
      <c r="S25" s="27">
        <f>SUMPRODUCT((C$7:$P$7=1)*(C25:P25="Y"))*50</f>
        <v/>
      </c>
    </row>
    <row r="26" ht="17" customHeight="1">
      <c r="A26" s="29" t="n">
        <v>7</v>
      </c>
      <c r="B26" s="30" t="inlineStr">
        <is>
          <t>Francisco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41" t="inlineStr">
        <is>
          <t>Y</t>
        </is>
      </c>
      <c r="M26" s="41" t="inlineStr">
        <is>
          <t>Y</t>
        </is>
      </c>
      <c r="N26" s="41" t="inlineStr">
        <is>
          <t>Y</t>
        </is>
      </c>
      <c r="O26" s="31" t="n"/>
      <c r="P26" s="41" t="inlineStr">
        <is>
          <t>Y</t>
        </is>
      </c>
      <c r="Q26" s="17">
        <f>IFERROR(AVERAGEIFS($C$7:$P$7,C26:P26,"Y"),"")</f>
        <v/>
      </c>
      <c r="R26" s="26">
        <f>COUNTIF(C26:P26,"Y")</f>
        <v/>
      </c>
      <c r="S26" s="27">
        <f>SUMPRODUCT((C$7:$P$7=1)*(C26:P26="Y"))*50</f>
        <v/>
      </c>
    </row>
    <row r="27" ht="17" customHeight="1">
      <c r="A27" s="32" t="n">
        <v>8</v>
      </c>
      <c r="B27" s="33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7">
        <f>IFERROR(AVERAGEIFS($C$7:$P$7,C27:P27,"Y"),"")</f>
        <v/>
      </c>
      <c r="R27" s="26">
        <f>COUNTIF(C27:P27,"Y")</f>
        <v/>
      </c>
      <c r="S27" s="27">
        <f>SUMPRODUCT((C$7:$P$7=1)*(C27:P27="Y"))*50</f>
        <v/>
      </c>
    </row>
    <row r="28" ht="17" customHeight="1">
      <c r="A28" s="29" t="n">
        <v>9</v>
      </c>
      <c r="B28" s="30" t="inlineStr">
        <is>
          <t>Jada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41" t="inlineStr">
        <is>
          <t>Y</t>
        </is>
      </c>
      <c r="O28" s="41" t="inlineStr">
        <is>
          <t>Y</t>
        </is>
      </c>
      <c r="P28" s="31" t="n"/>
      <c r="Q28" s="17">
        <f>IFERROR(AVERAGEIFS($C$7:$P$7,C28:P28,"Y"),"")</f>
        <v/>
      </c>
      <c r="R28" s="26">
        <f>COUNTIF(C28:P28,"Y")</f>
        <v/>
      </c>
      <c r="S28" s="27">
        <f>SUMPRODUCT((C$7:$P$7=1)*(C28:P28="Y"))*50</f>
        <v/>
      </c>
    </row>
    <row r="29" ht="17" customHeight="1">
      <c r="A29" s="32" t="n">
        <v>10</v>
      </c>
      <c r="B29" s="33" t="inlineStr">
        <is>
          <t>Jeremiah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41" t="inlineStr">
        <is>
          <t>Y</t>
        </is>
      </c>
      <c r="O29" s="18" t="n"/>
      <c r="P29" s="18" t="n"/>
      <c r="Q29" s="17">
        <f>IFERROR(AVERAGEIFS($C$7:$P$7,C29:P29,"Y"),"")</f>
        <v/>
      </c>
      <c r="R29" s="26">
        <f>COUNTIF(C29:P29,"Y")</f>
        <v/>
      </c>
      <c r="S29" s="27">
        <f>SUMPRODUCT((C$7:$P$7=1)*(C29:P29="Y"))*50</f>
        <v/>
      </c>
    </row>
    <row r="30" ht="17" customHeight="1">
      <c r="A30" s="29" t="n">
        <v>11</v>
      </c>
      <c r="B30" s="30" t="inlineStr">
        <is>
          <t>Kable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17">
        <f>IFERROR(AVERAGEIFS($C$7:$P$7,C30:P30,"Y"),"")</f>
        <v/>
      </c>
      <c r="R30" s="26">
        <f>COUNTIF(C30:P30,"Y")</f>
        <v/>
      </c>
      <c r="S30" s="27">
        <f>SUMPRODUCT((C$7:$P$7=1)*(C30:P30="Y"))*50</f>
        <v/>
      </c>
    </row>
    <row r="31" ht="17" customHeight="1">
      <c r="A31" s="32" t="n">
        <v>12</v>
      </c>
      <c r="B31" s="33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7">
        <f>IFERROR(AVERAGEIFS($C$7:$P$7,C31:P31,"Y"),"")</f>
        <v/>
      </c>
      <c r="R31" s="26">
        <f>COUNTIF(C31:P31,"Y")</f>
        <v/>
      </c>
      <c r="S31" s="27">
        <f>SUMPRODUCT((C$7:$P$7=1)*(C31:P31="Y"))*50</f>
        <v/>
      </c>
    </row>
    <row r="32" ht="17" customHeight="1">
      <c r="A32" s="29" t="n">
        <v>13</v>
      </c>
      <c r="B32" s="30" t="inlineStr">
        <is>
          <t>Kenzie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17">
        <f>IFERROR(AVERAGEIFS($C$7:$P$7,C32:P32,"Y"),"")</f>
        <v/>
      </c>
      <c r="R32" s="26">
        <f>COUNTIF(C32:P32,"Y")</f>
        <v/>
      </c>
      <c r="S32" s="27">
        <f>SUMPRODUCT((C$7:$P$7=1)*(C32:P32="Y"))*50</f>
        <v/>
      </c>
    </row>
    <row r="33" ht="17" customHeight="1">
      <c r="A33" s="32" t="n">
        <v>14</v>
      </c>
      <c r="B33" s="33" t="inlineStr">
        <is>
          <t>Lidy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41" t="inlineStr">
        <is>
          <t>Y</t>
        </is>
      </c>
      <c r="N33" s="18" t="n"/>
      <c r="O33" s="18" t="n"/>
      <c r="P33" s="41" t="inlineStr">
        <is>
          <t>Y</t>
        </is>
      </c>
      <c r="Q33" s="17">
        <f>IFERROR(AVERAGEIFS($C$7:$P$7,C33:P33,"Y"),"")</f>
        <v/>
      </c>
      <c r="R33" s="26">
        <f>COUNTIF(C33:P33,"Y")</f>
        <v/>
      </c>
      <c r="S33" s="27">
        <f>SUMPRODUCT((C$7:$P$7=1)*(C33:P33="Y"))*50</f>
        <v/>
      </c>
    </row>
    <row r="34" ht="17" customHeight="1">
      <c r="A34" s="29" t="n">
        <v>15</v>
      </c>
      <c r="B34" s="30" t="inlineStr">
        <is>
          <t>Maylin</t>
        </is>
      </c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41" t="inlineStr">
        <is>
          <t>Y</t>
        </is>
      </c>
      <c r="M34" s="41" t="inlineStr">
        <is>
          <t>Y</t>
        </is>
      </c>
      <c r="N34" s="41" t="inlineStr">
        <is>
          <t>Y</t>
        </is>
      </c>
      <c r="O34" s="41" t="inlineStr">
        <is>
          <t>Y</t>
        </is>
      </c>
      <c r="P34" s="41" t="inlineStr">
        <is>
          <t>Y</t>
        </is>
      </c>
      <c r="Q34" s="17">
        <f>IFERROR(AVERAGEIFS($C$7:$P$7,C34:P34,"Y"),"")</f>
        <v/>
      </c>
      <c r="R34" s="26">
        <f>COUNTIF(C34:P34,"Y")</f>
        <v/>
      </c>
      <c r="S34" s="27">
        <f>SUMPRODUCT((C$7:$P$7=1)*(C34:P34="Y"))*50</f>
        <v/>
      </c>
    </row>
    <row r="35" ht="17" customHeight="1">
      <c r="A35" s="32" t="n">
        <v>16</v>
      </c>
      <c r="B35" s="33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7">
        <f>IFERROR(AVERAGEIFS($C$7:$P$7,C35:P35,"Y"),"")</f>
        <v/>
      </c>
      <c r="R35" s="26">
        <f>COUNTIF(C35:P35,"Y")</f>
        <v/>
      </c>
      <c r="S35" s="27">
        <f>SUMPRODUCT((C$7:$P$7=1)*(C35:P35="Y"))*50</f>
        <v/>
      </c>
    </row>
    <row r="36" ht="17" customHeight="1">
      <c r="A36" s="29" t="n">
        <v>17</v>
      </c>
      <c r="B36" s="30" t="inlineStr">
        <is>
          <t>Richard</t>
        </is>
      </c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17">
        <f>IFERROR(AVERAGEIFS($C$7:$P$7,C36:P36,"Y"),"")</f>
        <v/>
      </c>
      <c r="R36" s="26">
        <f>COUNTIF(C36:P36,"Y")</f>
        <v/>
      </c>
      <c r="S36" s="27">
        <f>SUMPRODUCT((C$7:$P$7=1)*(C36:P36="Y"))*50</f>
        <v/>
      </c>
    </row>
    <row r="37" ht="17" customHeight="1">
      <c r="A37" s="32" t="n">
        <v>18</v>
      </c>
      <c r="B37" s="33" t="inlineStr">
        <is>
          <t>Samuel</t>
        </is>
      </c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41" t="inlineStr">
        <is>
          <t>Y</t>
        </is>
      </c>
      <c r="M37" s="18" t="n"/>
      <c r="N37" s="18" t="n"/>
      <c r="O37" s="18" t="n"/>
      <c r="P37" s="18" t="n"/>
      <c r="Q37" s="17">
        <f>IFERROR(AVERAGEIFS($C$7:$P$7,C37:P37,"Y"),"")</f>
        <v/>
      </c>
      <c r="R37" s="26">
        <f>COUNTIF(C37:P37,"Y")</f>
        <v/>
      </c>
      <c r="S37" s="27">
        <f>SUMPRODUCT((C$7:$P$7=1)*(C37:P37="Y"))*50</f>
        <v/>
      </c>
    </row>
    <row r="38" ht="17" customHeight="1">
      <c r="A38" s="29" t="n">
        <v>19</v>
      </c>
      <c r="B38" s="30" t="inlineStr">
        <is>
          <t>Zach</t>
        </is>
      </c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17">
        <f>IFERROR(AVERAGEIFS($C$7:$P$7,C38:P38,"Y"),"")</f>
        <v/>
      </c>
      <c r="R38" s="26">
        <f>COUNTIF(C38:P38,"Y")</f>
        <v/>
      </c>
      <c r="S38" s="27">
        <f>SUMPRODUCT((C$7:$P$7=1)*(C38:P38="Y"))*50</f>
        <v/>
      </c>
    </row>
    <row r="39" ht="18" customHeight="1">
      <c r="A39" s="3" t="inlineStr"/>
      <c r="B39" s="34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5">
        <f>SUM(S14:S38)</f>
        <v/>
      </c>
    </row>
    <row r="40" ht="12" customHeight="1">
      <c r="A40" s="36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37" t="n">
        <v>0.97</v>
      </c>
      <c r="K7" s="15" t="n">
        <v>0.87</v>
      </c>
      <c r="L7" s="37" t="n">
        <v>0.95</v>
      </c>
      <c r="M7" s="16" t="n">
        <v>0.47</v>
      </c>
      <c r="N7" s="14" t="n">
        <v>1</v>
      </c>
      <c r="O7" s="15" t="n">
        <v>0.87</v>
      </c>
      <c r="P7" s="17">
        <f>IFERROR(AVERAGE(C7:O7),"")</f>
        <v/>
      </c>
      <c r="Q7" s="12" t="inlineStr"/>
      <c r="R7" s="12" t="inlineStr"/>
    </row>
    <row r="8" ht="13" customHeight="1">
      <c r="A8" s="18" t="inlineStr"/>
      <c r="B8" s="19" t="inlineStr">
        <is>
          <t>Service</t>
        </is>
      </c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38" t="n">
        <v>1</v>
      </c>
      <c r="K8" s="42" t="n">
        <v>0.87</v>
      </c>
      <c r="L8" s="40" t="n">
        <v>0.95</v>
      </c>
      <c r="M8" s="39" t="n">
        <v>0.77</v>
      </c>
      <c r="N8" s="38" t="n">
        <v>1</v>
      </c>
      <c r="O8" s="42" t="n">
        <v>0.87</v>
      </c>
      <c r="P8" s="20">
        <f>IFERROR(AVERAGE(C8:O8),"")</f>
        <v/>
      </c>
      <c r="Q8" s="18" t="inlineStr"/>
      <c r="R8" s="18" t="inlineStr"/>
    </row>
    <row r="9" ht="13" customHeight="1">
      <c r="A9" s="18" t="inlineStr"/>
      <c r="B9" s="19" t="inlineStr">
        <is>
          <t>Quality</t>
        </is>
      </c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38" t="n">
        <v>1</v>
      </c>
      <c r="K9" s="38" t="n">
        <v>1</v>
      </c>
      <c r="L9" s="38" t="n">
        <v>1</v>
      </c>
      <c r="M9" s="38" t="n">
        <v>1</v>
      </c>
      <c r="N9" s="38" t="n">
        <v>1</v>
      </c>
      <c r="O9" s="38" t="n">
        <v>1</v>
      </c>
      <c r="P9" s="20">
        <f>IFERROR(AVERAGE(C9:O9),"")</f>
        <v/>
      </c>
      <c r="Q9" s="18" t="inlineStr"/>
      <c r="R9" s="18" t="inlineStr"/>
    </row>
    <row r="10" ht="13" customHeight="1">
      <c r="A10" s="18" t="inlineStr"/>
      <c r="B10" s="19" t="inlineStr">
        <is>
          <t>Cleanliness</t>
        </is>
      </c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40" t="n">
        <v>0.97</v>
      </c>
      <c r="K10" s="38" t="n">
        <v>1</v>
      </c>
      <c r="L10" s="38" t="n">
        <v>1</v>
      </c>
      <c r="M10" s="42" t="n">
        <v>0.8</v>
      </c>
      <c r="N10" s="38" t="n">
        <v>1</v>
      </c>
      <c r="O10" s="38" t="n">
        <v>1</v>
      </c>
      <c r="P10" s="20">
        <f>IFERROR(AVERAGE(C10:O10),"")</f>
        <v/>
      </c>
      <c r="Q10" s="18" t="inlineStr"/>
      <c r="R10" s="18" t="inlineStr"/>
    </row>
    <row r="11" ht="13" customHeight="1">
      <c r="A11" s="18" t="inlineStr"/>
      <c r="B11" s="19" t="inlineStr">
        <is>
          <t>Customer Sat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38" t="n">
        <v>1</v>
      </c>
      <c r="K11" s="38" t="n">
        <v>1</v>
      </c>
      <c r="L11" s="38" t="n">
        <v>1</v>
      </c>
      <c r="M11" s="40" t="n">
        <v>0.9</v>
      </c>
      <c r="N11" s="38" t="n">
        <v>1</v>
      </c>
      <c r="O11" s="38" t="n">
        <v>1</v>
      </c>
      <c r="P11" s="20">
        <f>IFERROR(AVERAGE(C11:O11),"")</f>
        <v/>
      </c>
      <c r="Q11" s="18" t="inlineStr"/>
      <c r="R11" s="18" t="inlineStr"/>
    </row>
    <row r="12" ht="6" customHeight="1">
      <c r="A12" s="21" t="n"/>
    </row>
    <row r="13" ht="18" customHeight="1">
      <c r="A13" s="22" t="inlineStr">
        <is>
          <t>MANAGERS</t>
        </is>
      </c>
    </row>
    <row r="14" ht="17" customHeight="1">
      <c r="A14" s="23" t="n">
        <v>1</v>
      </c>
      <c r="B14" s="24" t="inlineStr">
        <is>
          <t>Madison C.</t>
        </is>
      </c>
      <c r="C14" s="25" t="n"/>
      <c r="D14" s="25" t="n"/>
      <c r="E14" s="25" t="n"/>
      <c r="F14" s="25" t="n"/>
      <c r="G14" s="25" t="n"/>
      <c r="H14" s="25" t="n"/>
      <c r="I14" s="25" t="n"/>
      <c r="J14" s="41" t="inlineStr">
        <is>
          <t>Y</t>
        </is>
      </c>
      <c r="K14" s="25" t="n"/>
      <c r="L14" s="25" t="n"/>
      <c r="M14" s="25" t="n"/>
      <c r="N14" s="25" t="n"/>
      <c r="O14" s="25" t="n"/>
      <c r="P14" s="17">
        <f>IFERROR(AVERAGEIFS($C$7:$O$7,C14:O14,"Y"),"")</f>
        <v/>
      </c>
      <c r="Q14" s="26">
        <f>COUNTIF(C14:O14,"Y")</f>
        <v/>
      </c>
      <c r="R14" s="27">
        <f>SUMPRODUCT((C$7:$O$7=1)*(C14:O14="Y"))*50</f>
        <v/>
      </c>
    </row>
    <row r="15" ht="17" customHeight="1">
      <c r="A15" s="23" t="n">
        <v>2</v>
      </c>
      <c r="B15" s="24" t="inlineStr">
        <is>
          <t>Vicki L.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41" t="inlineStr">
        <is>
          <t>Y</t>
        </is>
      </c>
      <c r="L15" s="25" t="n"/>
      <c r="M15" s="41" t="inlineStr">
        <is>
          <t>Y</t>
        </is>
      </c>
      <c r="N15" s="25" t="n"/>
      <c r="O15" s="25" t="n"/>
      <c r="P15" s="17">
        <f>IFERROR(AVERAGEIFS($C$7:$O$7,C15:O15,"Y"),"")</f>
        <v/>
      </c>
      <c r="Q15" s="26">
        <f>COUNTIF(C15:O15,"Y")</f>
        <v/>
      </c>
      <c r="R15" s="27">
        <f>SUMPRODUCT((C$7:$O$7=1)*(C15:O15="Y"))*50</f>
        <v/>
      </c>
    </row>
    <row r="16" ht="17" customHeight="1">
      <c r="A16" s="23" t="n">
        <v>3</v>
      </c>
      <c r="B16" s="24" t="inlineStr">
        <is>
          <t>Kasey W.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41" t="inlineStr">
        <is>
          <t>Y</t>
        </is>
      </c>
      <c r="L16" s="25" t="n"/>
      <c r="M16" s="25" t="n"/>
      <c r="N16" s="41" t="inlineStr">
        <is>
          <t>Y</t>
        </is>
      </c>
      <c r="O16" s="25" t="n"/>
      <c r="P16" s="17">
        <f>IFERROR(AVERAGEIFS($C$7:$O$7,C16:O16,"Y"),"")</f>
        <v/>
      </c>
      <c r="Q16" s="26">
        <f>COUNTIF(C16:O16,"Y")</f>
        <v/>
      </c>
      <c r="R16" s="27">
        <f>SUMPRODUCT((C$7:$O$7=1)*(C16:O16="Y"))*50</f>
        <v/>
      </c>
    </row>
    <row r="17" ht="17" customHeight="1">
      <c r="A17" s="23" t="n">
        <v>4</v>
      </c>
      <c r="B17" s="24" t="inlineStr">
        <is>
          <t>Nathan R.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41" t="inlineStr">
        <is>
          <t>Y</t>
        </is>
      </c>
      <c r="M17" s="25" t="n"/>
      <c r="N17" s="41" t="inlineStr">
        <is>
          <t>Y</t>
        </is>
      </c>
      <c r="O17" s="41" t="inlineStr">
        <is>
          <t>Y</t>
        </is>
      </c>
      <c r="P17" s="17">
        <f>IFERROR(AVERAGEIFS($C$7:$O$7,C17:O17,"Y"),"")</f>
        <v/>
      </c>
      <c r="Q17" s="26">
        <f>COUNTIF(C17:O17,"Y")</f>
        <v/>
      </c>
      <c r="R17" s="27">
        <f>SUMPRODUCT((C$7:$O$7=1)*(C17:O17="Y"))*50</f>
        <v/>
      </c>
    </row>
    <row r="18" ht="6" customHeight="1">
      <c r="A18" s="21" t="n"/>
    </row>
    <row r="19" ht="18" customHeight="1">
      <c r="A19" s="28" t="inlineStr">
        <is>
          <t>CREW</t>
        </is>
      </c>
    </row>
    <row r="20" ht="17" customHeight="1">
      <c r="A20" s="29" t="n">
        <v>1</v>
      </c>
      <c r="B20" s="30" t="inlineStr">
        <is>
          <t>Alen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17">
        <f>IFERROR(AVERAGEIFS($C$7:$O$7,C20:O20,"Y"),"")</f>
        <v/>
      </c>
      <c r="Q20" s="26">
        <f>COUNTIF(C20:O20,"Y")</f>
        <v/>
      </c>
      <c r="R20" s="27">
        <f>SUMPRODUCT((C$7:$O$7=1)*(C20:O20="Y"))*50</f>
        <v/>
      </c>
    </row>
    <row r="21" ht="17" customHeight="1">
      <c r="A21" s="32" t="n">
        <v>2</v>
      </c>
      <c r="B21" s="33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7">
        <f>IFERROR(AVERAGEIFS($C$7:$O$7,C21:O21,"Y"),"")</f>
        <v/>
      </c>
      <c r="Q21" s="26">
        <f>COUNTIF(C21:O21,"Y")</f>
        <v/>
      </c>
      <c r="R21" s="27">
        <f>SUMPRODUCT((C$7:$O$7=1)*(C21:O21="Y"))*50</f>
        <v/>
      </c>
    </row>
    <row r="22" ht="17" customHeight="1">
      <c r="A22" s="29" t="n">
        <v>3</v>
      </c>
      <c r="B22" s="30" t="inlineStr">
        <is>
          <t>Autumn</t>
        </is>
      </c>
      <c r="C22" s="31" t="n"/>
      <c r="D22" s="31" t="n"/>
      <c r="E22" s="31" t="n"/>
      <c r="F22" s="31" t="n"/>
      <c r="G22" s="31" t="n"/>
      <c r="H22" s="31" t="n"/>
      <c r="I22" s="31" t="n"/>
      <c r="J22" s="41" t="inlineStr">
        <is>
          <t>Y</t>
        </is>
      </c>
      <c r="K22" s="31" t="n"/>
      <c r="L22" s="31" t="n"/>
      <c r="M22" s="31" t="n"/>
      <c r="N22" s="41" t="inlineStr">
        <is>
          <t>Y</t>
        </is>
      </c>
      <c r="O22" s="31" t="n"/>
      <c r="P22" s="17">
        <f>IFERROR(AVERAGEIFS($C$7:$O$7,C22:O22,"Y"),"")</f>
        <v/>
      </c>
      <c r="Q22" s="26">
        <f>COUNTIF(C22:O22,"Y")</f>
        <v/>
      </c>
      <c r="R22" s="27">
        <f>SUMPRODUCT((C$7:$O$7=1)*(C22:O22="Y"))*50</f>
        <v/>
      </c>
    </row>
    <row r="23" ht="17" customHeight="1">
      <c r="A23" s="32" t="n">
        <v>4</v>
      </c>
      <c r="B23" s="33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41" t="inlineStr">
        <is>
          <t>Y</t>
        </is>
      </c>
      <c r="O23" s="18" t="n"/>
      <c r="P23" s="17">
        <f>IFERROR(AVERAGEIFS($C$7:$O$7,C23:O23,"Y"),"")</f>
        <v/>
      </c>
      <c r="Q23" s="26">
        <f>COUNTIF(C23:O23,"Y")</f>
        <v/>
      </c>
      <c r="R23" s="27">
        <f>SUMPRODUCT((C$7:$O$7=1)*(C23:O23="Y"))*50</f>
        <v/>
      </c>
    </row>
    <row r="24" ht="17" customHeight="1">
      <c r="A24" s="29" t="n">
        <v>5</v>
      </c>
      <c r="B24" s="30" t="inlineStr">
        <is>
          <t>Dakayla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41" t="inlineStr">
        <is>
          <t>Y</t>
        </is>
      </c>
      <c r="P24" s="17">
        <f>IFERROR(AVERAGEIFS($C$7:$O$7,C24:O24,"Y"),"")</f>
        <v/>
      </c>
      <c r="Q24" s="26">
        <f>COUNTIF(C24:O24,"Y")</f>
        <v/>
      </c>
      <c r="R24" s="27">
        <f>SUMPRODUCT((C$7:$O$7=1)*(C24:O24="Y"))*50</f>
        <v/>
      </c>
    </row>
    <row r="25" ht="17" customHeight="1">
      <c r="A25" s="32" t="n">
        <v>6</v>
      </c>
      <c r="B25" s="33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7">
        <f>IFERROR(AVERAGEIFS($C$7:$O$7,C25:O25,"Y"),"")</f>
        <v/>
      </c>
      <c r="Q25" s="26">
        <f>COUNTIF(C25:O25,"Y")</f>
        <v/>
      </c>
      <c r="R25" s="27">
        <f>SUMPRODUCT((C$7:$O$7=1)*(C25:O25="Y"))*50</f>
        <v/>
      </c>
    </row>
    <row r="26" ht="17" customHeight="1">
      <c r="A26" s="29" t="n">
        <v>7</v>
      </c>
      <c r="B26" s="30" t="inlineStr">
        <is>
          <t>Francisco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41" t="inlineStr">
        <is>
          <t>Y</t>
        </is>
      </c>
      <c r="L26" s="31" t="n"/>
      <c r="M26" s="41" t="inlineStr">
        <is>
          <t>Y</t>
        </is>
      </c>
      <c r="N26" s="31" t="n"/>
      <c r="O26" s="31" t="n"/>
      <c r="P26" s="17">
        <f>IFERROR(AVERAGEIFS($C$7:$O$7,C26:O26,"Y"),"")</f>
        <v/>
      </c>
      <c r="Q26" s="26">
        <f>COUNTIF(C26:O26,"Y")</f>
        <v/>
      </c>
      <c r="R26" s="27">
        <f>SUMPRODUCT((C$7:$O$7=1)*(C26:O26="Y"))*50</f>
        <v/>
      </c>
    </row>
    <row r="27" ht="17" customHeight="1">
      <c r="A27" s="32" t="n">
        <v>8</v>
      </c>
      <c r="B27" s="33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7">
        <f>IFERROR(AVERAGEIFS($C$7:$O$7,C27:O27,"Y"),"")</f>
        <v/>
      </c>
      <c r="Q27" s="26">
        <f>COUNTIF(C27:O27,"Y")</f>
        <v/>
      </c>
      <c r="R27" s="27">
        <f>SUMPRODUCT((C$7:$O$7=1)*(C27:O27="Y"))*50</f>
        <v/>
      </c>
    </row>
    <row r="28" ht="17" customHeight="1">
      <c r="A28" s="29" t="n">
        <v>9</v>
      </c>
      <c r="B28" s="30" t="inlineStr">
        <is>
          <t>Jada</t>
        </is>
      </c>
      <c r="C28" s="31" t="n"/>
      <c r="D28" s="31" t="n"/>
      <c r="E28" s="31" t="n"/>
      <c r="F28" s="31" t="n"/>
      <c r="G28" s="31" t="n"/>
      <c r="H28" s="31" t="n"/>
      <c r="I28" s="31" t="n"/>
      <c r="J28" s="41" t="inlineStr">
        <is>
          <t>Y</t>
        </is>
      </c>
      <c r="K28" s="31" t="n"/>
      <c r="L28" s="31" t="n"/>
      <c r="M28" s="31" t="n"/>
      <c r="N28" s="31" t="n"/>
      <c r="O28" s="31" t="n"/>
      <c r="P28" s="17">
        <f>IFERROR(AVERAGEIFS($C$7:$O$7,C28:O28,"Y"),"")</f>
        <v/>
      </c>
      <c r="Q28" s="26">
        <f>COUNTIF(C28:O28,"Y")</f>
        <v/>
      </c>
      <c r="R28" s="27">
        <f>SUMPRODUCT((C$7:$O$7=1)*(C28:O28="Y"))*50</f>
        <v/>
      </c>
    </row>
    <row r="29" ht="17" customHeight="1">
      <c r="A29" s="32" t="n">
        <v>10</v>
      </c>
      <c r="B29" s="33" t="inlineStr">
        <is>
          <t>Jeremiah</t>
        </is>
      </c>
      <c r="C29" s="18" t="n"/>
      <c r="D29" s="18" t="n"/>
      <c r="E29" s="18" t="n"/>
      <c r="F29" s="18" t="n"/>
      <c r="G29" s="18" t="n"/>
      <c r="H29" s="18" t="n"/>
      <c r="I29" s="18" t="n"/>
      <c r="J29" s="41" t="inlineStr">
        <is>
          <t>Y</t>
        </is>
      </c>
      <c r="K29" s="41" t="inlineStr">
        <is>
          <t>Y</t>
        </is>
      </c>
      <c r="L29" s="41" t="inlineStr">
        <is>
          <t>Y</t>
        </is>
      </c>
      <c r="M29" s="18" t="n"/>
      <c r="N29" s="18" t="n"/>
      <c r="O29" s="18" t="n"/>
      <c r="P29" s="17">
        <f>IFERROR(AVERAGEIFS($C$7:$O$7,C29:O29,"Y"),"")</f>
        <v/>
      </c>
      <c r="Q29" s="26">
        <f>COUNTIF(C29:O29,"Y")</f>
        <v/>
      </c>
      <c r="R29" s="27">
        <f>SUMPRODUCT((C$7:$O$7=1)*(C29:O29="Y"))*50</f>
        <v/>
      </c>
    </row>
    <row r="30" ht="17" customHeight="1">
      <c r="A30" s="29" t="n">
        <v>11</v>
      </c>
      <c r="B30" s="30" t="inlineStr">
        <is>
          <t>Kable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17">
        <f>IFERROR(AVERAGEIFS($C$7:$O$7,C30:O30,"Y"),"")</f>
        <v/>
      </c>
      <c r="Q30" s="26">
        <f>COUNTIF(C30:O30,"Y")</f>
        <v/>
      </c>
      <c r="R30" s="27">
        <f>SUMPRODUCT((C$7:$O$7=1)*(C30:O30="Y"))*50</f>
        <v/>
      </c>
    </row>
    <row r="31" ht="17" customHeight="1">
      <c r="A31" s="32" t="n">
        <v>12</v>
      </c>
      <c r="B31" s="33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7">
        <f>IFERROR(AVERAGEIFS($C$7:$O$7,C31:O31,"Y"),"")</f>
        <v/>
      </c>
      <c r="Q31" s="26">
        <f>COUNTIF(C31:O31,"Y")</f>
        <v/>
      </c>
      <c r="R31" s="27">
        <f>SUMPRODUCT((C$7:$O$7=1)*(C31:O31="Y"))*50</f>
        <v/>
      </c>
    </row>
    <row r="32" ht="17" customHeight="1">
      <c r="A32" s="29" t="n">
        <v>13</v>
      </c>
      <c r="B32" s="30" t="inlineStr">
        <is>
          <t>Kenzie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17">
        <f>IFERROR(AVERAGEIFS($C$7:$O$7,C32:O32,"Y"),"")</f>
        <v/>
      </c>
      <c r="Q32" s="26">
        <f>COUNTIF(C32:O32,"Y")</f>
        <v/>
      </c>
      <c r="R32" s="27">
        <f>SUMPRODUCT((C$7:$O$7=1)*(C32:O32="Y"))*50</f>
        <v/>
      </c>
    </row>
    <row r="33" ht="17" customHeight="1">
      <c r="A33" s="32" t="n">
        <v>14</v>
      </c>
      <c r="B33" s="33" t="inlineStr">
        <is>
          <t>Lidy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41" t="inlineStr">
        <is>
          <t>Y</t>
        </is>
      </c>
      <c r="L33" s="18" t="n"/>
      <c r="M33" s="41" t="inlineStr">
        <is>
          <t>Y</t>
        </is>
      </c>
      <c r="N33" s="18" t="n"/>
      <c r="O33" s="41" t="inlineStr">
        <is>
          <t>Y</t>
        </is>
      </c>
      <c r="P33" s="17">
        <f>IFERROR(AVERAGEIFS($C$7:$O$7,C33:O33,"Y"),"")</f>
        <v/>
      </c>
      <c r="Q33" s="26">
        <f>COUNTIF(C33:O33,"Y")</f>
        <v/>
      </c>
      <c r="R33" s="27">
        <f>SUMPRODUCT((C$7:$O$7=1)*(C33:O33="Y"))*50</f>
        <v/>
      </c>
    </row>
    <row r="34" ht="17" customHeight="1">
      <c r="A34" s="29" t="n">
        <v>15</v>
      </c>
      <c r="B34" s="30" t="inlineStr">
        <is>
          <t>Maylin</t>
        </is>
      </c>
      <c r="C34" s="31" t="n"/>
      <c r="D34" s="31" t="n"/>
      <c r="E34" s="31" t="n"/>
      <c r="F34" s="31" t="n"/>
      <c r="G34" s="31" t="n"/>
      <c r="H34" s="31" t="n"/>
      <c r="I34" s="31" t="n"/>
      <c r="J34" s="41" t="inlineStr">
        <is>
          <t>Y</t>
        </is>
      </c>
      <c r="K34" s="31" t="n"/>
      <c r="L34" s="31" t="n"/>
      <c r="M34" s="31" t="n"/>
      <c r="N34" s="41" t="inlineStr">
        <is>
          <t>Y</t>
        </is>
      </c>
      <c r="O34" s="31" t="n"/>
      <c r="P34" s="17">
        <f>IFERROR(AVERAGEIFS($C$7:$O$7,C34:O34,"Y"),"")</f>
        <v/>
      </c>
      <c r="Q34" s="26">
        <f>COUNTIF(C34:O34,"Y")</f>
        <v/>
      </c>
      <c r="R34" s="27">
        <f>SUMPRODUCT((C$7:$O$7=1)*(C34:O34="Y"))*50</f>
        <v/>
      </c>
    </row>
    <row r="35" ht="17" customHeight="1">
      <c r="A35" s="32" t="n">
        <v>16</v>
      </c>
      <c r="B35" s="33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7">
        <f>IFERROR(AVERAGEIFS($C$7:$O$7,C35:O35,"Y"),"")</f>
        <v/>
      </c>
      <c r="Q35" s="26">
        <f>COUNTIF(C35:O35,"Y")</f>
        <v/>
      </c>
      <c r="R35" s="27">
        <f>SUMPRODUCT((C$7:$O$7=1)*(C35:O35="Y"))*50</f>
        <v/>
      </c>
    </row>
    <row r="36" ht="17" customHeight="1">
      <c r="A36" s="29" t="n">
        <v>17</v>
      </c>
      <c r="B36" s="30" t="inlineStr">
        <is>
          <t>Richard</t>
        </is>
      </c>
      <c r="C36" s="31" t="n"/>
      <c r="D36" s="31" t="n"/>
      <c r="E36" s="31" t="n"/>
      <c r="F36" s="31" t="n"/>
      <c r="G36" s="31" t="n"/>
      <c r="H36" s="31" t="n"/>
      <c r="I36" s="31" t="n"/>
      <c r="J36" s="41" t="inlineStr">
        <is>
          <t>Y</t>
        </is>
      </c>
      <c r="K36" s="31" t="n"/>
      <c r="L36" s="41" t="inlineStr">
        <is>
          <t>Y</t>
        </is>
      </c>
      <c r="M36" s="41" t="inlineStr">
        <is>
          <t>Y</t>
        </is>
      </c>
      <c r="N36" s="41" t="inlineStr">
        <is>
          <t>Y</t>
        </is>
      </c>
      <c r="O36" s="31" t="n"/>
      <c r="P36" s="17">
        <f>IFERROR(AVERAGEIFS($C$7:$O$7,C36:O36,"Y"),"")</f>
        <v/>
      </c>
      <c r="Q36" s="26">
        <f>COUNTIF(C36:O36,"Y")</f>
        <v/>
      </c>
      <c r="R36" s="27">
        <f>SUMPRODUCT((C$7:$O$7=1)*(C36:O36="Y"))*50</f>
        <v/>
      </c>
    </row>
    <row r="37" ht="17" customHeight="1">
      <c r="A37" s="32" t="n">
        <v>18</v>
      </c>
      <c r="B37" s="33" t="inlineStr">
        <is>
          <t>Samuel</t>
        </is>
      </c>
      <c r="C37" s="18" t="n"/>
      <c r="D37" s="18" t="n"/>
      <c r="E37" s="18" t="n"/>
      <c r="F37" s="18" t="n"/>
      <c r="G37" s="18" t="n"/>
      <c r="H37" s="18" t="n"/>
      <c r="I37" s="18" t="n"/>
      <c r="J37" s="41" t="inlineStr">
        <is>
          <t>Y</t>
        </is>
      </c>
      <c r="K37" s="18" t="n"/>
      <c r="L37" s="18" t="n"/>
      <c r="M37" s="18" t="n"/>
      <c r="N37" s="18" t="n"/>
      <c r="O37" s="18" t="n"/>
      <c r="P37" s="17">
        <f>IFERROR(AVERAGEIFS($C$7:$O$7,C37:O37,"Y"),"")</f>
        <v/>
      </c>
      <c r="Q37" s="26">
        <f>COUNTIF(C37:O37,"Y")</f>
        <v/>
      </c>
      <c r="R37" s="27">
        <f>SUMPRODUCT((C$7:$O$7=1)*(C37:O37="Y"))*50</f>
        <v/>
      </c>
    </row>
    <row r="38" ht="17" customHeight="1">
      <c r="A38" s="29" t="n">
        <v>19</v>
      </c>
      <c r="B38" s="30" t="inlineStr">
        <is>
          <t>Zach</t>
        </is>
      </c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17">
        <f>IFERROR(AVERAGEIFS($C$7:$O$7,C38:O38,"Y"),"")</f>
        <v/>
      </c>
      <c r="Q38" s="26">
        <f>COUNTIF(C38:O38,"Y")</f>
        <v/>
      </c>
      <c r="R38" s="27">
        <f>SUMPRODUCT((C$7:$O$7=1)*(C38:O38="Y"))*50</f>
        <v/>
      </c>
    </row>
    <row r="39" ht="18" customHeight="1">
      <c r="A39" s="3" t="inlineStr"/>
      <c r="B39" s="34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5">
        <f>SUM(R14:R38)</f>
        <v/>
      </c>
    </row>
    <row r="40" ht="12" customHeight="1">
      <c r="A40" s="36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7" customWidth="1" min="13" max="13"/>
    <col width="10" customWidth="1" min="14" max="14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9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6" t="inlineStr">
        <is>
          <t>AVG</t>
        </is>
      </c>
      <c r="M4" s="6" t="inlineStr">
        <is>
          <t>N</t>
        </is>
      </c>
      <c r="N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7" t="inlineStr"/>
      <c r="M5" s="7" t="inlineStr"/>
      <c r="N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7" t="inlineStr"/>
      <c r="M6" s="7" t="inlineStr"/>
      <c r="N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37" t="n">
        <v>0.92</v>
      </c>
      <c r="I7" s="37" t="n">
        <v>0.95</v>
      </c>
      <c r="J7" s="15" t="n">
        <v>0.8</v>
      </c>
      <c r="K7" s="14" t="n">
        <v>1</v>
      </c>
      <c r="L7" s="17">
        <f>IFERROR(AVERAGE(C7:K7),"")</f>
        <v/>
      </c>
      <c r="M7" s="12" t="inlineStr"/>
      <c r="N7" s="12" t="inlineStr"/>
    </row>
    <row r="8" ht="13" customHeight="1">
      <c r="A8" s="18" t="inlineStr"/>
      <c r="B8" s="19" t="inlineStr">
        <is>
          <t>Service</t>
        </is>
      </c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20">
        <f>IFERROR(AVERAGE(C8:K8),"")</f>
        <v/>
      </c>
      <c r="M8" s="18" t="inlineStr"/>
      <c r="N8" s="18" t="inlineStr"/>
    </row>
    <row r="9" ht="13" customHeight="1">
      <c r="A9" s="18" t="inlineStr"/>
      <c r="B9" s="19" t="inlineStr">
        <is>
          <t>Quality</t>
        </is>
      </c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20">
        <f>IFERROR(AVERAGE(C9:K9),"")</f>
        <v/>
      </c>
      <c r="M9" s="18" t="inlineStr"/>
      <c r="N9" s="18" t="inlineStr"/>
    </row>
    <row r="10" ht="13" customHeight="1">
      <c r="A10" s="18" t="inlineStr"/>
      <c r="B10" s="19" t="inlineStr">
        <is>
          <t>Cleanliness</t>
        </is>
      </c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20">
        <f>IFERROR(AVERAGE(C10:K10),"")</f>
        <v/>
      </c>
      <c r="M10" s="18" t="inlineStr"/>
      <c r="N10" s="18" t="inlineStr"/>
    </row>
    <row r="11" ht="13" customHeight="1">
      <c r="A11" s="18" t="inlineStr"/>
      <c r="B11" s="19" t="inlineStr">
        <is>
          <t>Customer Sat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20">
        <f>IFERROR(AVERAGE(C11:K11),"")</f>
        <v/>
      </c>
      <c r="M11" s="18" t="inlineStr"/>
      <c r="N11" s="18" t="inlineStr"/>
    </row>
    <row r="12" ht="6" customHeight="1">
      <c r="A12" s="21" t="n"/>
    </row>
    <row r="13" ht="18" customHeight="1">
      <c r="A13" s="22" t="inlineStr">
        <is>
          <t>MANAGERS</t>
        </is>
      </c>
    </row>
    <row r="14" ht="17" customHeight="1">
      <c r="A14" s="23" t="n">
        <v>1</v>
      </c>
      <c r="B14" s="24" t="inlineStr">
        <is>
          <t>Madison C.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41" t="inlineStr">
        <is>
          <t>Y</t>
        </is>
      </c>
      <c r="L14" s="17">
        <f>IFERROR(AVERAGEIFS($C$7:$K$7,C14:K14,"Y"),"")</f>
        <v/>
      </c>
      <c r="M14" s="26">
        <f>COUNTIF(C14:K14,"Y")</f>
        <v/>
      </c>
      <c r="N14" s="27">
        <f>SUMPRODUCT((C$7:$K$7=1)*(C14:K14="Y"))*50</f>
        <v/>
      </c>
    </row>
    <row r="15" ht="17" customHeight="1">
      <c r="A15" s="23" t="n">
        <v>2</v>
      </c>
      <c r="B15" s="24" t="inlineStr">
        <is>
          <t>Vicki L.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41" t="inlineStr">
        <is>
          <t>Y</t>
        </is>
      </c>
      <c r="L15" s="17">
        <f>IFERROR(AVERAGEIFS($C$7:$K$7,C15:K15,"Y"),"")</f>
        <v/>
      </c>
      <c r="M15" s="26">
        <f>COUNTIF(C15:K15,"Y")</f>
        <v/>
      </c>
      <c r="N15" s="27">
        <f>SUMPRODUCT((C$7:$K$7=1)*(C15:K15="Y"))*50</f>
        <v/>
      </c>
    </row>
    <row r="16" ht="17" customHeight="1">
      <c r="A16" s="23" t="n">
        <v>3</v>
      </c>
      <c r="B16" s="24" t="inlineStr">
        <is>
          <t>Kasey W.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17">
        <f>IFERROR(AVERAGEIFS($C$7:$K$7,C16:K16,"Y"),"")</f>
        <v/>
      </c>
      <c r="M16" s="26">
        <f>COUNTIF(C16:K16,"Y")</f>
        <v/>
      </c>
      <c r="N16" s="27">
        <f>SUMPRODUCT((C$7:$K$7=1)*(C16:K16="Y"))*50</f>
        <v/>
      </c>
    </row>
    <row r="17" ht="17" customHeight="1">
      <c r="A17" s="23" t="n">
        <v>4</v>
      </c>
      <c r="B17" s="24" t="inlineStr">
        <is>
          <t>Nathan R.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17">
        <f>IFERROR(AVERAGEIFS($C$7:$K$7,C17:K17,"Y"),"")</f>
        <v/>
      </c>
      <c r="M17" s="26">
        <f>COUNTIF(C17:K17,"Y")</f>
        <v/>
      </c>
      <c r="N17" s="27">
        <f>SUMPRODUCT((C$7:$K$7=1)*(C17:K17="Y"))*50</f>
        <v/>
      </c>
    </row>
    <row r="18" ht="6" customHeight="1">
      <c r="A18" s="21" t="n"/>
    </row>
    <row r="19" ht="18" customHeight="1">
      <c r="A19" s="28" t="inlineStr">
        <is>
          <t>CREW</t>
        </is>
      </c>
    </row>
    <row r="20" ht="17" customHeight="1">
      <c r="A20" s="29" t="n">
        <v>1</v>
      </c>
      <c r="B20" s="30" t="inlineStr">
        <is>
          <t>Alen</t>
        </is>
      </c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17">
        <f>IFERROR(AVERAGEIFS($C$7:$K$7,C20:K20,"Y"),"")</f>
        <v/>
      </c>
      <c r="M20" s="26">
        <f>COUNTIF(C20:K20,"Y")</f>
        <v/>
      </c>
      <c r="N20" s="27">
        <f>SUMPRODUCT((C$7:$K$7=1)*(C20:K20="Y"))*50</f>
        <v/>
      </c>
    </row>
    <row r="21" ht="17" customHeight="1">
      <c r="A21" s="32" t="n">
        <v>2</v>
      </c>
      <c r="B21" s="33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7">
        <f>IFERROR(AVERAGEIFS($C$7:$K$7,C21:K21,"Y"),"")</f>
        <v/>
      </c>
      <c r="M21" s="26">
        <f>COUNTIF(C21:K21,"Y")</f>
        <v/>
      </c>
      <c r="N21" s="27">
        <f>SUMPRODUCT((C$7:$K$7=1)*(C21:K21="Y"))*50</f>
        <v/>
      </c>
    </row>
    <row r="22" ht="17" customHeight="1">
      <c r="A22" s="29" t="n">
        <v>3</v>
      </c>
      <c r="B22" s="30" t="inlineStr">
        <is>
          <t>Autumn</t>
        </is>
      </c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17">
        <f>IFERROR(AVERAGEIFS($C$7:$K$7,C22:K22,"Y"),"")</f>
        <v/>
      </c>
      <c r="M22" s="26">
        <f>COUNTIF(C22:K22,"Y")</f>
        <v/>
      </c>
      <c r="N22" s="27">
        <f>SUMPRODUCT((C$7:$K$7=1)*(C22:K22="Y"))*50</f>
        <v/>
      </c>
    </row>
    <row r="23" ht="17" customHeight="1">
      <c r="A23" s="32" t="n">
        <v>4</v>
      </c>
      <c r="B23" s="33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7">
        <f>IFERROR(AVERAGEIFS($C$7:$K$7,C23:K23,"Y"),"")</f>
        <v/>
      </c>
      <c r="M23" s="26">
        <f>COUNTIF(C23:K23,"Y")</f>
        <v/>
      </c>
      <c r="N23" s="27">
        <f>SUMPRODUCT((C$7:$K$7=1)*(C23:K23="Y"))*50</f>
        <v/>
      </c>
    </row>
    <row r="24" ht="17" customHeight="1">
      <c r="A24" s="29" t="n">
        <v>5</v>
      </c>
      <c r="B24" s="30" t="inlineStr">
        <is>
          <t>Dakayla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17">
        <f>IFERROR(AVERAGEIFS($C$7:$K$7,C24:K24,"Y"),"")</f>
        <v/>
      </c>
      <c r="M24" s="26">
        <f>COUNTIF(C24:K24,"Y")</f>
        <v/>
      </c>
      <c r="N24" s="27">
        <f>SUMPRODUCT((C$7:$K$7=1)*(C24:K24="Y"))*50</f>
        <v/>
      </c>
    </row>
    <row r="25" ht="17" customHeight="1">
      <c r="A25" s="32" t="n">
        <v>6</v>
      </c>
      <c r="B25" s="33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7">
        <f>IFERROR(AVERAGEIFS($C$7:$K$7,C25:K25,"Y"),"")</f>
        <v/>
      </c>
      <c r="M25" s="26">
        <f>COUNTIF(C25:K25,"Y")</f>
        <v/>
      </c>
      <c r="N25" s="27">
        <f>SUMPRODUCT((C$7:$K$7=1)*(C25:K25="Y"))*50</f>
        <v/>
      </c>
    </row>
    <row r="26" ht="17" customHeight="1">
      <c r="A26" s="29" t="n">
        <v>7</v>
      </c>
      <c r="B26" s="30" t="inlineStr">
        <is>
          <t>Francisco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41" t="inlineStr">
        <is>
          <t>Y</t>
        </is>
      </c>
      <c r="L26" s="17">
        <f>IFERROR(AVERAGEIFS($C$7:$K$7,C26:K26,"Y"),"")</f>
        <v/>
      </c>
      <c r="M26" s="26">
        <f>COUNTIF(C26:K26,"Y")</f>
        <v/>
      </c>
      <c r="N26" s="27">
        <f>SUMPRODUCT((C$7:$K$7=1)*(C26:K26="Y"))*50</f>
        <v/>
      </c>
    </row>
    <row r="27" ht="17" customHeight="1">
      <c r="A27" s="32" t="n">
        <v>8</v>
      </c>
      <c r="B27" s="33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7">
        <f>IFERROR(AVERAGEIFS($C$7:$K$7,C27:K27,"Y"),"")</f>
        <v/>
      </c>
      <c r="M27" s="26">
        <f>COUNTIF(C27:K27,"Y")</f>
        <v/>
      </c>
      <c r="N27" s="27">
        <f>SUMPRODUCT((C$7:$K$7=1)*(C27:K27="Y"))*50</f>
        <v/>
      </c>
    </row>
    <row r="28" ht="17" customHeight="1">
      <c r="A28" s="29" t="n">
        <v>9</v>
      </c>
      <c r="B28" s="30" t="inlineStr">
        <is>
          <t>Jada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17">
        <f>IFERROR(AVERAGEIFS($C$7:$K$7,C28:K28,"Y"),"")</f>
        <v/>
      </c>
      <c r="M28" s="26">
        <f>COUNTIF(C28:K28,"Y")</f>
        <v/>
      </c>
      <c r="N28" s="27">
        <f>SUMPRODUCT((C$7:$K$7=1)*(C28:K28="Y"))*50</f>
        <v/>
      </c>
    </row>
    <row r="29" ht="17" customHeight="1">
      <c r="A29" s="32" t="n">
        <v>10</v>
      </c>
      <c r="B29" s="33" t="inlineStr">
        <is>
          <t>Jeremiah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7">
        <f>IFERROR(AVERAGEIFS($C$7:$K$7,C29:K29,"Y"),"")</f>
        <v/>
      </c>
      <c r="M29" s="26">
        <f>COUNTIF(C29:K29,"Y")</f>
        <v/>
      </c>
      <c r="N29" s="27">
        <f>SUMPRODUCT((C$7:$K$7=1)*(C29:K29="Y"))*50</f>
        <v/>
      </c>
    </row>
    <row r="30" ht="17" customHeight="1">
      <c r="A30" s="29" t="n">
        <v>11</v>
      </c>
      <c r="B30" s="30" t="inlineStr">
        <is>
          <t>Kable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17">
        <f>IFERROR(AVERAGEIFS($C$7:$K$7,C30:K30,"Y"),"")</f>
        <v/>
      </c>
      <c r="M30" s="26">
        <f>COUNTIF(C30:K30,"Y")</f>
        <v/>
      </c>
      <c r="N30" s="27">
        <f>SUMPRODUCT((C$7:$K$7=1)*(C30:K30="Y"))*50</f>
        <v/>
      </c>
    </row>
    <row r="31" ht="17" customHeight="1">
      <c r="A31" s="32" t="n">
        <v>12</v>
      </c>
      <c r="B31" s="33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7">
        <f>IFERROR(AVERAGEIFS($C$7:$K$7,C31:K31,"Y"),"")</f>
        <v/>
      </c>
      <c r="M31" s="26">
        <f>COUNTIF(C31:K31,"Y")</f>
        <v/>
      </c>
      <c r="N31" s="27">
        <f>SUMPRODUCT((C$7:$K$7=1)*(C31:K31="Y"))*50</f>
        <v/>
      </c>
    </row>
    <row r="32" ht="17" customHeight="1">
      <c r="A32" s="29" t="n">
        <v>13</v>
      </c>
      <c r="B32" s="30" t="inlineStr">
        <is>
          <t>Kenzie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17">
        <f>IFERROR(AVERAGEIFS($C$7:$K$7,C32:K32,"Y"),"")</f>
        <v/>
      </c>
      <c r="M32" s="26">
        <f>COUNTIF(C32:K32,"Y")</f>
        <v/>
      </c>
      <c r="N32" s="27">
        <f>SUMPRODUCT((C$7:$K$7=1)*(C32:K32="Y"))*50</f>
        <v/>
      </c>
    </row>
    <row r="33" ht="17" customHeight="1">
      <c r="A33" s="32" t="n">
        <v>14</v>
      </c>
      <c r="B33" s="33" t="inlineStr">
        <is>
          <t>Lidy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41" t="inlineStr">
        <is>
          <t>Y</t>
        </is>
      </c>
      <c r="L33" s="17">
        <f>IFERROR(AVERAGEIFS($C$7:$K$7,C33:K33,"Y"),"")</f>
        <v/>
      </c>
      <c r="M33" s="26">
        <f>COUNTIF(C33:K33,"Y")</f>
        <v/>
      </c>
      <c r="N33" s="27">
        <f>SUMPRODUCT((C$7:$K$7=1)*(C33:K33="Y"))*50</f>
        <v/>
      </c>
    </row>
    <row r="34" ht="17" customHeight="1">
      <c r="A34" s="29" t="n">
        <v>15</v>
      </c>
      <c r="B34" s="30" t="inlineStr">
        <is>
          <t>Maylin</t>
        </is>
      </c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17">
        <f>IFERROR(AVERAGEIFS($C$7:$K$7,C34:K34,"Y"),"")</f>
        <v/>
      </c>
      <c r="M34" s="26">
        <f>COUNTIF(C34:K34,"Y")</f>
        <v/>
      </c>
      <c r="N34" s="27">
        <f>SUMPRODUCT((C$7:$K$7=1)*(C34:K34="Y"))*50</f>
        <v/>
      </c>
    </row>
    <row r="35" ht="17" customHeight="1">
      <c r="A35" s="32" t="n">
        <v>16</v>
      </c>
      <c r="B35" s="33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7">
        <f>IFERROR(AVERAGEIFS($C$7:$K$7,C35:K35,"Y"),"")</f>
        <v/>
      </c>
      <c r="M35" s="26">
        <f>COUNTIF(C35:K35,"Y")</f>
        <v/>
      </c>
      <c r="N35" s="27">
        <f>SUMPRODUCT((C$7:$K$7=1)*(C35:K35="Y"))*50</f>
        <v/>
      </c>
    </row>
    <row r="36" ht="17" customHeight="1">
      <c r="A36" s="29" t="n">
        <v>17</v>
      </c>
      <c r="B36" s="30" t="inlineStr">
        <is>
          <t>Richard</t>
        </is>
      </c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17">
        <f>IFERROR(AVERAGEIFS($C$7:$K$7,C36:K36,"Y"),"")</f>
        <v/>
      </c>
      <c r="M36" s="26">
        <f>COUNTIF(C36:K36,"Y")</f>
        <v/>
      </c>
      <c r="N36" s="27">
        <f>SUMPRODUCT((C$7:$K$7=1)*(C36:K36="Y"))*50</f>
        <v/>
      </c>
    </row>
    <row r="37" ht="17" customHeight="1">
      <c r="A37" s="32" t="n">
        <v>18</v>
      </c>
      <c r="B37" s="33" t="inlineStr">
        <is>
          <t>Samuel</t>
        </is>
      </c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7">
        <f>IFERROR(AVERAGEIFS($C$7:$K$7,C37:K37,"Y"),"")</f>
        <v/>
      </c>
      <c r="M37" s="26">
        <f>COUNTIF(C37:K37,"Y")</f>
        <v/>
      </c>
      <c r="N37" s="27">
        <f>SUMPRODUCT((C$7:$K$7=1)*(C37:K37="Y"))*50</f>
        <v/>
      </c>
    </row>
    <row r="38" ht="17" customHeight="1">
      <c r="A38" s="29" t="n">
        <v>19</v>
      </c>
      <c r="B38" s="30" t="inlineStr">
        <is>
          <t>Zach</t>
        </is>
      </c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17">
        <f>IFERROR(AVERAGEIFS($C$7:$K$7,C38:K38,"Y"),"")</f>
        <v/>
      </c>
      <c r="M38" s="26">
        <f>COUNTIF(C38:K38,"Y")</f>
        <v/>
      </c>
      <c r="N38" s="27">
        <f>SUMPRODUCT((C$7:$K$7=1)*(C38:K38="Y"))*50</f>
        <v/>
      </c>
    </row>
    <row r="39" ht="18" customHeight="1">
      <c r="A39" s="3" t="inlineStr"/>
      <c r="B39" s="34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3" t="inlineStr"/>
      <c r="M39" s="6">
        <f>SUM(M14:M38)</f>
        <v/>
      </c>
      <c r="N39" s="35">
        <f>SUM(N14:N38)</f>
        <v/>
      </c>
    </row>
    <row r="40" ht="12" customHeight="1">
      <c r="A40" s="36" t="inlineStr">
        <is>
          <t>Y = on shift during shop's meal window. Personal Avg = average score of shops worked. Bonus = $50 per 100% shop worked.</t>
        </is>
      </c>
    </row>
  </sheetData>
  <mergeCells count="7">
    <mergeCell ref="A40:N40"/>
    <mergeCell ref="A18:N18"/>
    <mergeCell ref="A12:N12"/>
    <mergeCell ref="A2:N2"/>
    <mergeCell ref="A19:N19"/>
    <mergeCell ref="A13:N13"/>
    <mergeCell ref="A1:N1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2026-05-08T02:34:07Z</dcterms:created>
  <dcterms:modified xmlns:dcterms="http://purl.org/dc/terms/" xmlns:xsi="http://www.w3.org/2001/XMLSchema-instance" xsi:type="dcterms:W3CDTF">2026-05-08T02:34:08Z</dcterms:modified>
</cp:coreProperties>
</file>