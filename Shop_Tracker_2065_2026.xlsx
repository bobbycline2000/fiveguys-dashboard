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Kayla Valenzuela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Kenzie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Lidy Henry</t>
        </is>
      </c>
      <c r="C30" s="28" t="n"/>
      <c r="D30" s="28" t="n"/>
      <c r="E30" s="30" t="n">
        <v>80</v>
      </c>
      <c r="F30" s="28" t="n"/>
      <c r="G30" s="22" t="n">
        <v>100</v>
      </c>
      <c r="H30" s="28" t="n"/>
      <c r="I30" s="28" t="n"/>
      <c r="J30" s="30" t="n">
        <v>85</v>
      </c>
      <c r="K30" s="23">
        <f>IFERROR(AVERAGE(C30:J30),"")</f>
        <v/>
      </c>
      <c r="L30" s="24" t="n">
        <v>38.33</v>
      </c>
    </row>
    <row r="31" ht="17" customHeight="1">
      <c r="A31" s="26" t="inlineStr">
        <is>
          <t>CREW</t>
        </is>
      </c>
      <c r="B31" s="27" t="inlineStr">
        <is>
          <t>Maylin Hernandez Rodriguez</t>
        </is>
      </c>
      <c r="C31" s="28" t="n"/>
      <c r="D31" s="25" t="n">
        <v>0</v>
      </c>
      <c r="E31" s="28" t="n"/>
      <c r="F31" s="25" t="n">
        <v>72</v>
      </c>
      <c r="G31" s="22" t="n">
        <v>100</v>
      </c>
      <c r="H31" s="28" t="n"/>
      <c r="I31" s="30" t="n">
        <v>80</v>
      </c>
      <c r="J31" s="28" t="n"/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Mike</t>
        </is>
      </c>
      <c r="C32" s="29" t="n">
        <v>92</v>
      </c>
      <c r="D32" s="28" t="n"/>
      <c r="E32" s="30" t="n">
        <v>80</v>
      </c>
      <c r="F32" s="25" t="n">
        <v>72</v>
      </c>
      <c r="G32" s="28" t="n"/>
      <c r="H32" s="28" t="n"/>
      <c r="I32" s="30" t="n">
        <v>80</v>
      </c>
      <c r="J32" s="30" t="n">
        <v>85</v>
      </c>
      <c r="K32" s="23">
        <f>IFERROR(AVERAGE(C32:J32),"")</f>
        <v/>
      </c>
      <c r="L32" s="28" t="n"/>
    </row>
    <row r="33" ht="17" customHeight="1">
      <c r="A33" s="26" t="inlineStr">
        <is>
          <t>CREW</t>
        </is>
      </c>
      <c r="B33" s="27" t="inlineStr">
        <is>
          <t>Nyatiek Keah</t>
        </is>
      </c>
      <c r="C33" s="28" t="n"/>
      <c r="D33" s="28" t="n"/>
      <c r="E33" s="28" t="n"/>
      <c r="F33" s="28" t="n"/>
      <c r="G33" s="28" t="n"/>
      <c r="H33" s="28" t="n"/>
      <c r="I33" s="28" t="n"/>
      <c r="J33" s="28" t="n"/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Richard Gibbs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Ryan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Samuel Galban Rocha</t>
        </is>
      </c>
      <c r="C36" s="28" t="n"/>
      <c r="D36" s="25" t="n">
        <v>0</v>
      </c>
      <c r="E36" s="28" t="n"/>
      <c r="F36" s="25" t="n">
        <v>72</v>
      </c>
      <c r="G36" s="28" t="n"/>
      <c r="H36" s="22" t="n">
        <v>100</v>
      </c>
      <c r="I36" s="30" t="n">
        <v>80</v>
      </c>
      <c r="J36" s="28" t="n"/>
      <c r="K36" s="23">
        <f>IFERROR(AVERAGE(C36:J36),"")</f>
        <v/>
      </c>
      <c r="L36" s="24" t="n">
        <v>46</v>
      </c>
    </row>
    <row r="37" ht="17" customHeight="1">
      <c r="A37" s="26" t="inlineStr">
        <is>
          <t>CREW</t>
        </is>
      </c>
      <c r="B37" s="27" t="inlineStr">
        <is>
          <t>Zack Whitten</t>
        </is>
      </c>
      <c r="C37" s="28" t="n"/>
      <c r="D37" s="28" t="n"/>
      <c r="E37" s="28" t="n"/>
      <c r="F37" s="28" t="n"/>
      <c r="G37" s="28" t="n"/>
      <c r="H37" s="28" t="n"/>
      <c r="I37" s="28" t="n"/>
      <c r="J37" s="28" t="n"/>
      <c r="K37" s="23">
        <f>IFERROR(AVERAGE(C37:J37),"")</f>
        <v/>
      </c>
      <c r="L37" s="28" t="n"/>
    </row>
    <row r="38" ht="12" customHeight="1">
      <c r="A38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8:L38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Kayla Valenzuela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Kenzie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Lidy Henry</t>
        </is>
      </c>
      <c r="C30" s="22" t="n">
        <v>100</v>
      </c>
      <c r="D30" s="28" t="n"/>
      <c r="E30" s="25" t="n">
        <v>69</v>
      </c>
      <c r="F30" s="28" t="n"/>
      <c r="G30" s="22" t="n">
        <v>100</v>
      </c>
      <c r="H30" s="28" t="n"/>
      <c r="I30" s="23">
        <f>IFERROR(AVERAGE(C30:H30),"")</f>
        <v/>
      </c>
      <c r="J30" s="24" t="n">
        <v>84.33</v>
      </c>
    </row>
    <row r="31" ht="17" customHeight="1">
      <c r="A31" s="26" t="inlineStr">
        <is>
          <t>CREW</t>
        </is>
      </c>
      <c r="B31" s="27" t="inlineStr">
        <is>
          <t>Maylin Hernandez Rodriguez</t>
        </is>
      </c>
      <c r="C31" s="28" t="n"/>
      <c r="D31" s="22" t="n">
        <v>100</v>
      </c>
      <c r="E31" s="25" t="n">
        <v>69</v>
      </c>
      <c r="F31" s="22" t="n">
        <v>100</v>
      </c>
      <c r="G31" s="22" t="n">
        <v>100</v>
      </c>
      <c r="H31" s="28" t="n"/>
      <c r="I31" s="23">
        <f>IFERROR(AVERAGE(C31:H31),"")</f>
        <v/>
      </c>
      <c r="J31" s="24" t="n">
        <v>153.33</v>
      </c>
    </row>
    <row r="32" ht="17" customHeight="1">
      <c r="A32" s="26" t="inlineStr">
        <is>
          <t>CREW</t>
        </is>
      </c>
      <c r="B32" s="27" t="inlineStr">
        <is>
          <t>Mike</t>
        </is>
      </c>
      <c r="C32" s="22" t="n">
        <v>100</v>
      </c>
      <c r="D32" s="28" t="n"/>
      <c r="E32" s="25" t="n">
        <v>69</v>
      </c>
      <c r="F32" s="28" t="n"/>
      <c r="G32" s="22" t="n">
        <v>100</v>
      </c>
      <c r="H32" s="29" t="n">
        <v>95</v>
      </c>
      <c r="I32" s="23">
        <f>IFERROR(AVERAGE(C32:H32),"")</f>
        <v/>
      </c>
      <c r="J32" s="24" t="n">
        <v>84.33</v>
      </c>
    </row>
    <row r="33" ht="17" customHeight="1">
      <c r="A33" s="26" t="inlineStr">
        <is>
          <t>CREW</t>
        </is>
      </c>
      <c r="B33" s="27" t="inlineStr">
        <is>
          <t>Nyatiek Keah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Richard Gibbs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Ryan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Samuel Galban Rocha</t>
        </is>
      </c>
      <c r="C36" s="28" t="n"/>
      <c r="D36" s="22" t="n">
        <v>100</v>
      </c>
      <c r="E36" s="28" t="n"/>
      <c r="F36" s="22" t="n">
        <v>100</v>
      </c>
      <c r="G36" s="28" t="n"/>
      <c r="H36" s="28" t="n"/>
      <c r="I36" s="23">
        <f>IFERROR(AVERAGE(C36:H36),"")</f>
        <v/>
      </c>
      <c r="J36" s="24" t="n">
        <v>115</v>
      </c>
    </row>
    <row r="37" ht="17" customHeight="1">
      <c r="A37" s="26" t="inlineStr">
        <is>
          <t>CREW</t>
        </is>
      </c>
      <c r="B37" s="27" t="inlineStr">
        <is>
          <t>Zack Whitten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2" customHeight="1">
      <c r="A38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J1"/>
    <mergeCell ref="A11:B11"/>
    <mergeCell ref="A38:J38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Kayla Valenzuela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Kenzie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Lidy Henry</t>
        </is>
      </c>
      <c r="C30" s="28" t="n"/>
      <c r="D30" s="30" t="n">
        <v>80</v>
      </c>
      <c r="E30" s="28" t="n"/>
      <c r="F30" s="28" t="n"/>
      <c r="G30" s="22" t="n">
        <v>100</v>
      </c>
      <c r="H30" s="23">
        <f>IFERROR(AVERAGE(C30:G30),"")</f>
        <v/>
      </c>
      <c r="I30" s="24" t="n">
        <v>38.33</v>
      </c>
    </row>
    <row r="31" ht="17" customHeight="1">
      <c r="A31" s="26" t="inlineStr">
        <is>
          <t>CREW</t>
        </is>
      </c>
      <c r="B31" s="27" t="inlineStr">
        <is>
          <t>Maylin Hernandez Rodriguez</t>
        </is>
      </c>
      <c r="C31" s="25" t="n">
        <v>72</v>
      </c>
      <c r="D31" s="30" t="n">
        <v>80</v>
      </c>
      <c r="E31" s="25" t="n">
        <v>72</v>
      </c>
      <c r="F31" s="25" t="n">
        <v>49</v>
      </c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Mike</t>
        </is>
      </c>
      <c r="C32" s="28" t="n"/>
      <c r="D32" s="28" t="n"/>
      <c r="E32" s="28" t="n"/>
      <c r="F32" s="28" t="n"/>
      <c r="G32" s="28" t="n"/>
      <c r="H32" s="23">
        <f>IFERROR(AVERAGE(C32:G32),"")</f>
        <v/>
      </c>
      <c r="I32" s="28" t="n"/>
    </row>
    <row r="33" ht="17" customHeight="1">
      <c r="A33" s="26" t="inlineStr">
        <is>
          <t>CREW</t>
        </is>
      </c>
      <c r="B33" s="27" t="inlineStr">
        <is>
          <t>Nyatiek Keah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Richard Gibbs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Ryan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Samuel Galban Rocha</t>
        </is>
      </c>
      <c r="C36" s="25" t="n">
        <v>72</v>
      </c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Zack Whitten</t>
        </is>
      </c>
      <c r="C37" s="28" t="n"/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2" customHeight="1">
      <c r="A38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8:I38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Kayla Valenzuela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Kenzie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Lidy Henry</t>
        </is>
      </c>
      <c r="C30" s="28" t="n"/>
      <c r="D30" s="30" t="n">
        <v>87</v>
      </c>
      <c r="E30" s="28" t="n"/>
      <c r="F30" s="25" t="n">
        <v>47</v>
      </c>
      <c r="G30" s="28" t="n"/>
      <c r="H30" s="30" t="n">
        <v>87</v>
      </c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Maylin Hernandez Rodriguez</t>
        </is>
      </c>
      <c r="C31" s="29" t="n">
        <v>97</v>
      </c>
      <c r="D31" s="28" t="n"/>
      <c r="E31" s="28" t="n"/>
      <c r="F31" s="28" t="n"/>
      <c r="G31" s="22" t="n">
        <v>100</v>
      </c>
      <c r="H31" s="28" t="n"/>
      <c r="I31" s="23">
        <f>IFERROR(AVERAGE(C31:H31),"")</f>
        <v/>
      </c>
      <c r="J31" s="24" t="n">
        <v>38.33</v>
      </c>
    </row>
    <row r="32" ht="17" customHeight="1">
      <c r="A32" s="26" t="inlineStr">
        <is>
          <t>CREW</t>
        </is>
      </c>
      <c r="B32" s="27" t="inlineStr">
        <is>
          <t>Mike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Nyatiek Keah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Richard Gibbs</t>
        </is>
      </c>
      <c r="C34" s="29" t="n">
        <v>97</v>
      </c>
      <c r="D34" s="28" t="n"/>
      <c r="E34" s="29" t="n">
        <v>95</v>
      </c>
      <c r="F34" s="25" t="n">
        <v>47</v>
      </c>
      <c r="G34" s="22" t="n">
        <v>100</v>
      </c>
      <c r="H34" s="28" t="n"/>
      <c r="I34" s="23">
        <f>IFERROR(AVERAGE(C34:H34),"")</f>
        <v/>
      </c>
      <c r="J34" s="24" t="n">
        <v>38.33</v>
      </c>
    </row>
    <row r="35" ht="17" customHeight="1">
      <c r="A35" s="26" t="inlineStr">
        <is>
          <t>CREW</t>
        </is>
      </c>
      <c r="B35" s="27" t="inlineStr">
        <is>
          <t>Ryan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Samuel Galban Rocha</t>
        </is>
      </c>
      <c r="C36" s="29" t="n">
        <v>97</v>
      </c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Zack Whitten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2" customHeight="1">
      <c r="A38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J1"/>
    <mergeCell ref="A11:B11"/>
    <mergeCell ref="A38:J38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Kayla Valenzuela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Kenzie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Lidy Henry</t>
        </is>
      </c>
      <c r="C30" s="22" t="n">
        <v>100</v>
      </c>
      <c r="D30" s="28" t="n"/>
      <c r="E30" s="29" t="n">
        <v>95</v>
      </c>
      <c r="F30" s="28" t="n"/>
      <c r="G30" s="25" t="n">
        <v>60</v>
      </c>
      <c r="H30" s="28" t="n"/>
      <c r="I30" s="23">
        <f>IFERROR(AVERAGE(C30:H30),"")</f>
        <v/>
      </c>
      <c r="J30" s="24" t="n">
        <v>46</v>
      </c>
    </row>
    <row r="31" ht="17" customHeight="1">
      <c r="A31" s="26" t="inlineStr">
        <is>
          <t>CREW</t>
        </is>
      </c>
      <c r="B31" s="27" t="inlineStr">
        <is>
          <t>Maylin Hernandez Rodriguez</t>
        </is>
      </c>
      <c r="C31" s="28" t="n"/>
      <c r="D31" s="22" t="n">
        <v>100</v>
      </c>
      <c r="E31" s="28" t="n"/>
      <c r="F31" s="28" t="n"/>
      <c r="G31" s="25" t="n">
        <v>60</v>
      </c>
      <c r="H31" s="29" t="n">
        <v>92</v>
      </c>
      <c r="I31" s="23">
        <f>IFERROR(AVERAGE(C31:H31),"")</f>
        <v/>
      </c>
      <c r="J31" s="24" t="n">
        <v>38.33</v>
      </c>
    </row>
    <row r="32" ht="17" customHeight="1">
      <c r="A32" s="26" t="inlineStr">
        <is>
          <t>CREW</t>
        </is>
      </c>
      <c r="B32" s="27" t="inlineStr">
        <is>
          <t>Mike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Nyatiek Keah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Richard Gibbs</t>
        </is>
      </c>
      <c r="C34" s="28" t="n"/>
      <c r="D34" s="28" t="n"/>
      <c r="E34" s="29" t="n">
        <v>95</v>
      </c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Ryan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Samuel Galban Rocha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Zack Whitten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2" customHeight="1">
      <c r="A38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J1"/>
    <mergeCell ref="A11:B11"/>
    <mergeCell ref="A38:J38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3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10" customWidth="1" min="5" max="5"/>
    <col width="13" customWidth="1" min="6" max="6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MTD SCORE</t>
        </is>
      </c>
      <c r="F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4" t="inlineStr"/>
      <c r="F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4" t="inlineStr"/>
      <c r="F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9" t="inlineStr"/>
      <c r="F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3" t="inlineStr">
        <is>
          <t>MTD SCORE</t>
        </is>
      </c>
      <c r="F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3">
        <f>IFERROR(AVERAGE(C12:D12),"")</f>
        <v/>
      </c>
      <c r="F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3">
        <f>IFERROR(AVERAGE(C13:D13),"")</f>
        <v/>
      </c>
      <c r="F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3">
        <f>IFERROR(AVERAGE(C14:D14),"")</f>
        <v/>
      </c>
      <c r="F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3">
        <f>IFERROR(AVERAGE(C15:D15),"")</f>
        <v/>
      </c>
      <c r="F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3">
        <f>IFERROR(AVERAGE(C16:D16),"")</f>
        <v/>
      </c>
      <c r="F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3">
        <f>IFERROR(AVERAGE(C17:D17),"")</f>
        <v/>
      </c>
      <c r="F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3">
        <f>IFERROR(AVERAGE(C18:D18),"")</f>
        <v/>
      </c>
      <c r="F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3">
        <f>IFERROR(AVERAGE(C19:D19),"")</f>
        <v/>
      </c>
      <c r="F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3">
        <f>IFERROR(AVERAGE(C20:D20),"")</f>
        <v/>
      </c>
      <c r="F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3">
        <f>IFERROR(AVERAGE(C21:D21),"")</f>
        <v/>
      </c>
      <c r="F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3">
        <f>IFERROR(AVERAGE(C22:D22),"")</f>
        <v/>
      </c>
      <c r="F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23">
        <f>IFERROR(AVERAGE(C23:D23),"")</f>
        <v/>
      </c>
      <c r="F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3">
        <f>IFERROR(AVERAGE(C24:D24),"")</f>
        <v/>
      </c>
      <c r="F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3">
        <f>IFERROR(AVERAGE(C25:D25),"")</f>
        <v/>
      </c>
      <c r="F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3">
        <f>IFERROR(AVERAGE(C26:D26),"")</f>
        <v/>
      </c>
      <c r="F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3">
        <f>IFERROR(AVERAGE(C27:D27),"")</f>
        <v/>
      </c>
      <c r="F27" s="28" t="n"/>
    </row>
    <row r="28" ht="17" customHeight="1">
      <c r="A28" s="26" t="inlineStr">
        <is>
          <t>CREW</t>
        </is>
      </c>
      <c r="B28" s="27" t="inlineStr">
        <is>
          <t>Kayla Valenzuela</t>
        </is>
      </c>
      <c r="C28" s="28" t="n"/>
      <c r="D28" s="28" t="n"/>
      <c r="E28" s="23">
        <f>IFERROR(AVERAGE(C28:D28),"")</f>
        <v/>
      </c>
      <c r="F28" s="28" t="n"/>
    </row>
    <row r="29" ht="17" customHeight="1">
      <c r="A29" s="26" t="inlineStr">
        <is>
          <t>CREW</t>
        </is>
      </c>
      <c r="B29" s="27" t="inlineStr">
        <is>
          <t>Kenzie</t>
        </is>
      </c>
      <c r="C29" s="28" t="n"/>
      <c r="D29" s="28" t="n"/>
      <c r="E29" s="23">
        <f>IFERROR(AVERAGE(C29:D29),"")</f>
        <v/>
      </c>
      <c r="F29" s="28" t="n"/>
    </row>
    <row r="30" ht="17" customHeight="1">
      <c r="A30" s="26" t="inlineStr">
        <is>
          <t>CREW</t>
        </is>
      </c>
      <c r="B30" s="27" t="inlineStr">
        <is>
          <t>Lidy Henry</t>
        </is>
      </c>
      <c r="C30" s="29" t="n">
        <v>95</v>
      </c>
      <c r="D30" s="22" t="n">
        <v>100</v>
      </c>
      <c r="E30" s="23">
        <f>IFERROR(AVERAGE(C30:D30),"")</f>
        <v/>
      </c>
      <c r="F30" s="24" t="n">
        <v>46</v>
      </c>
    </row>
    <row r="31" ht="17" customHeight="1">
      <c r="A31" s="26" t="inlineStr">
        <is>
          <t>CREW</t>
        </is>
      </c>
      <c r="B31" s="27" t="inlineStr">
        <is>
          <t>Maylin Hernandez Rodriguez</t>
        </is>
      </c>
      <c r="C31" s="28" t="n"/>
      <c r="D31" s="28" t="n"/>
      <c r="E31" s="23">
        <f>IFERROR(AVERAGE(C31:D31),"")</f>
        <v/>
      </c>
      <c r="F31" s="28" t="n"/>
    </row>
    <row r="32" ht="17" customHeight="1">
      <c r="A32" s="26" t="inlineStr">
        <is>
          <t>CREW</t>
        </is>
      </c>
      <c r="B32" s="27" t="inlineStr">
        <is>
          <t>Mike</t>
        </is>
      </c>
      <c r="C32" s="28" t="n"/>
      <c r="D32" s="28" t="n"/>
      <c r="E32" s="23">
        <f>IFERROR(AVERAGE(C32:D32),"")</f>
        <v/>
      </c>
      <c r="F32" s="28" t="n"/>
    </row>
    <row r="33" ht="17" customHeight="1">
      <c r="A33" s="26" t="inlineStr">
        <is>
          <t>CREW</t>
        </is>
      </c>
      <c r="B33" s="27" t="inlineStr">
        <is>
          <t>Nyatiek Keah</t>
        </is>
      </c>
      <c r="C33" s="28" t="n"/>
      <c r="D33" s="28" t="n"/>
      <c r="E33" s="23">
        <f>IFERROR(AVERAGE(C33:D33),"")</f>
        <v/>
      </c>
      <c r="F33" s="28" t="n"/>
    </row>
    <row r="34" ht="17" customHeight="1">
      <c r="A34" s="26" t="inlineStr">
        <is>
          <t>CREW</t>
        </is>
      </c>
      <c r="B34" s="27" t="inlineStr">
        <is>
          <t>Richard Gibbs</t>
        </is>
      </c>
      <c r="C34" s="28" t="n"/>
      <c r="D34" s="28" t="n"/>
      <c r="E34" s="23">
        <f>IFERROR(AVERAGE(C34:D34),"")</f>
        <v/>
      </c>
      <c r="F34" s="28" t="n"/>
    </row>
    <row r="35" ht="17" customHeight="1">
      <c r="A35" s="26" t="inlineStr">
        <is>
          <t>CREW</t>
        </is>
      </c>
      <c r="B35" s="27" t="inlineStr">
        <is>
          <t>Ryan</t>
        </is>
      </c>
      <c r="C35" s="28" t="n"/>
      <c r="D35" s="28" t="n"/>
      <c r="E35" s="23">
        <f>IFERROR(AVERAGE(C35:D35),"")</f>
        <v/>
      </c>
      <c r="F35" s="28" t="n"/>
    </row>
    <row r="36" ht="17" customHeight="1">
      <c r="A36" s="26" t="inlineStr">
        <is>
          <t>CREW</t>
        </is>
      </c>
      <c r="B36" s="27" t="inlineStr">
        <is>
          <t>Samuel Galban Rocha</t>
        </is>
      </c>
      <c r="C36" s="28" t="n"/>
      <c r="D36" s="28" t="n"/>
      <c r="E36" s="23">
        <f>IFERROR(AVERAGE(C36:D36),"")</f>
        <v/>
      </c>
      <c r="F36" s="28" t="n"/>
    </row>
    <row r="37" ht="17" customHeight="1">
      <c r="A37" s="26" t="inlineStr">
        <is>
          <t>CREW</t>
        </is>
      </c>
      <c r="B37" s="27" t="inlineStr">
        <is>
          <t>Zack Whitten</t>
        </is>
      </c>
      <c r="C37" s="28" t="n"/>
      <c r="D37" s="22" t="n">
        <v>100</v>
      </c>
      <c r="E37" s="23">
        <f>IFERROR(AVERAGE(C37:D37),"")</f>
        <v/>
      </c>
      <c r="F37" s="24" t="n">
        <v>46</v>
      </c>
    </row>
    <row r="38" ht="12" customHeight="1">
      <c r="A38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8:F38"/>
    <mergeCell ref="A11:B11"/>
    <mergeCell ref="A1:F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2026-06-12T20:34:21Z</dcterms:created>
  <dcterms:modified xmlns:dcterms="http://purl.org/dc/terms/" xmlns:xsi="http://www.w3.org/2001/XMLSchema-instance" xsi:type="dcterms:W3CDTF">2026-06-12T20:34:22Z</dcterms:modified>
</cp:coreProperties>
</file>