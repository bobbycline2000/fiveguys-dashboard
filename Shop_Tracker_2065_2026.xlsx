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Vicki L.</t>
        </is>
      </c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7" t="inlineStr">
        <is>
          <t>Y</t>
        </is>
      </c>
      <c r="R14" s="26" t="n"/>
      <c r="S14" s="26" t="n"/>
      <c r="T14" s="26" t="n"/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Kasey W.</t>
        </is>
      </c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7" t="inlineStr">
        <is>
          <t>Y</t>
        </is>
      </c>
      <c r="O15" s="26" t="n"/>
      <c r="P15" s="26" t="n"/>
      <c r="Q15" s="26" t="n"/>
      <c r="R15" s="26" t="n"/>
      <c r="S15" s="26" t="n"/>
      <c r="T15" s="26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Nathan R.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6" customHeight="1">
      <c r="A17" s="22" t="n"/>
    </row>
    <row r="18" ht="18" customHeight="1">
      <c r="A18" s="30" t="inlineStr">
        <is>
          <t>CREW</t>
        </is>
      </c>
    </row>
    <row r="19" ht="17" customHeight="1">
      <c r="A19" s="31" t="n">
        <v>1</v>
      </c>
      <c r="B19" s="32" t="inlineStr">
        <is>
          <t>Alen</t>
        </is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18">
        <f>IFERROR(AVERAGEIFS($C$7:$T$7,C19:T19,"Y"),"")</f>
        <v/>
      </c>
      <c r="V19" s="28">
        <f>COUNTIF(C19:T19,"Y")</f>
        <v/>
      </c>
      <c r="W19" s="29">
        <f>SUMPRODUCT((C$7:$T$7=1)*(C19:T19="Y"))*50</f>
        <v/>
      </c>
    </row>
    <row r="20" ht="17" customHeight="1">
      <c r="A20" s="34" t="n">
        <v>2</v>
      </c>
      <c r="B20" s="35" t="inlineStr">
        <is>
          <t>Anthony</t>
        </is>
      </c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1" t="n">
        <v>3</v>
      </c>
      <c r="B21" s="32" t="inlineStr">
        <is>
          <t>Ash</t>
        </is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27" t="inlineStr">
        <is>
          <t>Y</t>
        </is>
      </c>
      <c r="N21" s="33" t="n"/>
      <c r="O21" s="27" t="inlineStr">
        <is>
          <t>Y</t>
        </is>
      </c>
      <c r="P21" s="33" t="n"/>
      <c r="Q21" s="33" t="n"/>
      <c r="R21" s="27" t="inlineStr">
        <is>
          <t>Y</t>
        </is>
      </c>
      <c r="S21" s="33" t="n"/>
      <c r="T21" s="33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4" t="n">
        <v>4</v>
      </c>
      <c r="B22" s="35" t="inlineStr">
        <is>
          <t>Autumn</t>
        </is>
      </c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27" t="inlineStr">
        <is>
          <t>Y</t>
        </is>
      </c>
      <c r="S22" s="27" t="inlineStr">
        <is>
          <t>Y</t>
        </is>
      </c>
      <c r="T22" s="19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1" t="n">
        <v>5</v>
      </c>
      <c r="B23" s="32" t="inlineStr">
        <is>
          <t>Bri</t>
        </is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27" t="inlineStr">
        <is>
          <t>Y</t>
        </is>
      </c>
      <c r="S23" s="33" t="n"/>
      <c r="T23" s="33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4" t="n">
        <v>6</v>
      </c>
      <c r="B24" s="35" t="inlineStr">
        <is>
          <t>Dakayla</t>
        </is>
      </c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1" t="n">
        <v>7</v>
      </c>
      <c r="B25" s="32" t="inlineStr">
        <is>
          <t>Damon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4" t="n">
        <v>8</v>
      </c>
      <c r="B26" s="35" t="inlineStr">
        <is>
          <t>Divan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1" t="n">
        <v>9</v>
      </c>
      <c r="B27" s="32" t="inlineStr">
        <is>
          <t>Francisco</t>
        </is>
      </c>
      <c r="C27" s="33" t="n"/>
      <c r="D27" s="27" t="inlineStr">
        <is>
          <t>Y</t>
        </is>
      </c>
      <c r="E27" s="27" t="inlineStr">
        <is>
          <t>Y</t>
        </is>
      </c>
      <c r="F27" s="27" t="inlineStr">
        <is>
          <t>Y</t>
        </is>
      </c>
      <c r="G27" s="33" t="n"/>
      <c r="H27" s="33" t="n"/>
      <c r="I27" s="27" t="inlineStr">
        <is>
          <t>Y</t>
        </is>
      </c>
      <c r="J27" s="27" t="inlineStr">
        <is>
          <t>Y</t>
        </is>
      </c>
      <c r="K27" s="33" t="n"/>
      <c r="L27" s="33" t="n"/>
      <c r="M27" s="27" t="inlineStr">
        <is>
          <t>Y</t>
        </is>
      </c>
      <c r="N27" s="27" t="inlineStr">
        <is>
          <t>Y</t>
        </is>
      </c>
      <c r="O27" s="33" t="n"/>
      <c r="P27" s="27" t="inlineStr">
        <is>
          <t>Y</t>
        </is>
      </c>
      <c r="Q27" s="27" t="inlineStr">
        <is>
          <t>Y</t>
        </is>
      </c>
      <c r="R27" s="33" t="n"/>
      <c r="S27" s="33" t="n"/>
      <c r="T27" s="27" t="inlineStr">
        <is>
          <t>Y</t>
        </is>
      </c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4" t="n">
        <v>10</v>
      </c>
      <c r="B28" s="35" t="inlineStr">
        <is>
          <t>Grace</t>
        </is>
      </c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1" t="n">
        <v>11</v>
      </c>
      <c r="B29" s="32" t="inlineStr">
        <is>
          <t>Jada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27" t="inlineStr">
        <is>
          <t>Y</t>
        </is>
      </c>
      <c r="O29" s="33" t="n"/>
      <c r="P29" s="33" t="n"/>
      <c r="Q29" s="33" t="n"/>
      <c r="R29" s="33" t="n"/>
      <c r="S29" s="33" t="n"/>
      <c r="T29" s="33" t="n"/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4" t="n">
        <v>12</v>
      </c>
      <c r="B30" s="35" t="inlineStr">
        <is>
          <t>Jeremiah</t>
        </is>
      </c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27" t="inlineStr">
        <is>
          <t>Y</t>
        </is>
      </c>
      <c r="P30" s="27" t="inlineStr">
        <is>
          <t>Y</t>
        </is>
      </c>
      <c r="Q30" s="27" t="inlineStr">
        <is>
          <t>Y</t>
        </is>
      </c>
      <c r="R30" s="19" t="n"/>
      <c r="S30" s="19" t="n"/>
      <c r="T30" s="27" t="inlineStr">
        <is>
          <t>Y</t>
        </is>
      </c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1" t="n">
        <v>13</v>
      </c>
      <c r="B31" s="32" t="inlineStr">
        <is>
          <t>Kable</t>
        </is>
      </c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4" t="n">
        <v>14</v>
      </c>
      <c r="B32" s="35" t="inlineStr">
        <is>
          <t>Kayla</t>
        </is>
      </c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1" t="n">
        <v>15</v>
      </c>
      <c r="B33" s="32" t="inlineStr">
        <is>
          <t>Kenzie</t>
        </is>
      </c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4" t="n">
        <v>16</v>
      </c>
      <c r="B34" s="35" t="inlineStr">
        <is>
          <t>Lidy</t>
        </is>
      </c>
      <c r="C34" s="27" t="inlineStr">
        <is>
          <t>Y</t>
        </is>
      </c>
      <c r="D34" s="27" t="inlineStr">
        <is>
          <t>Y</t>
        </is>
      </c>
      <c r="E34" s="27" t="inlineStr">
        <is>
          <t>Y</t>
        </is>
      </c>
      <c r="F34" s="27" t="inlineStr">
        <is>
          <t>Y</t>
        </is>
      </c>
      <c r="G34" s="27" t="inlineStr">
        <is>
          <t>Y</t>
        </is>
      </c>
      <c r="H34" s="19" t="n"/>
      <c r="I34" s="27" t="inlineStr">
        <is>
          <t>Y</t>
        </is>
      </c>
      <c r="J34" s="27" t="inlineStr">
        <is>
          <t>Y</t>
        </is>
      </c>
      <c r="K34" s="27" t="inlineStr">
        <is>
          <t>Y</t>
        </is>
      </c>
      <c r="L34" s="19" t="n"/>
      <c r="M34" s="19" t="n"/>
      <c r="N34" s="19" t="n"/>
      <c r="O34" s="27" t="inlineStr">
        <is>
          <t>Y</t>
        </is>
      </c>
      <c r="P34" s="19" t="n"/>
      <c r="Q34" s="27" t="inlineStr">
        <is>
          <t>Y</t>
        </is>
      </c>
      <c r="R34" s="19" t="n"/>
      <c r="S34" s="19" t="n"/>
      <c r="T34" s="27" t="inlineStr">
        <is>
          <t>Y</t>
        </is>
      </c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1" t="n">
        <v>17</v>
      </c>
      <c r="B35" s="32" t="inlineStr">
        <is>
          <t>Maylin</t>
        </is>
      </c>
      <c r="C35" s="33" t="n"/>
      <c r="D35" s="27" t="inlineStr">
        <is>
          <t>Y</t>
        </is>
      </c>
      <c r="E35" s="33" t="n"/>
      <c r="F35" s="33" t="n"/>
      <c r="G35" s="33" t="n"/>
      <c r="H35" s="33" t="n"/>
      <c r="I35" s="27" t="inlineStr">
        <is>
          <t>Y</t>
        </is>
      </c>
      <c r="J35" s="33" t="n"/>
      <c r="K35" s="27" t="inlineStr">
        <is>
          <t>Y</t>
        </is>
      </c>
      <c r="L35" s="33" t="n"/>
      <c r="M35" s="33" t="n"/>
      <c r="N35" s="27" t="inlineStr">
        <is>
          <t>Y</t>
        </is>
      </c>
      <c r="O35" s="33" t="n"/>
      <c r="P35" s="27" t="inlineStr">
        <is>
          <t>Y</t>
        </is>
      </c>
      <c r="Q35" s="27" t="inlineStr">
        <is>
          <t>Y</t>
        </is>
      </c>
      <c r="R35" s="33" t="n"/>
      <c r="S35" s="27" t="inlineStr">
        <is>
          <t>Y</t>
        </is>
      </c>
      <c r="T35" s="33" t="n"/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4" t="n">
        <v>18</v>
      </c>
      <c r="B36" s="35" t="inlineStr">
        <is>
          <t>Mike</t>
        </is>
      </c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27" t="inlineStr">
        <is>
          <t>Y</t>
        </is>
      </c>
      <c r="N36" s="19" t="n"/>
      <c r="O36" s="27" t="inlineStr">
        <is>
          <t>Y</t>
        </is>
      </c>
      <c r="P36" s="27" t="inlineStr">
        <is>
          <t>Y</t>
        </is>
      </c>
      <c r="Q36" s="19" t="n"/>
      <c r="R36" s="19" t="n"/>
      <c r="S36" s="27" t="inlineStr">
        <is>
          <t>Y</t>
        </is>
      </c>
      <c r="T36" s="27" t="inlineStr">
        <is>
          <t>Y</t>
        </is>
      </c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1" t="n">
        <v>19</v>
      </c>
      <c r="B37" s="32" t="inlineStr">
        <is>
          <t>Nyatiek</t>
        </is>
      </c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4" t="n">
        <v>20</v>
      </c>
      <c r="B38" s="35" t="inlineStr">
        <is>
          <t>Richard</t>
        </is>
      </c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7" customHeight="1">
      <c r="A39" s="31" t="n">
        <v>21</v>
      </c>
      <c r="B39" s="32" t="inlineStr">
        <is>
          <t>Ryan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18">
        <f>IFERROR(AVERAGEIFS($C$7:$T$7,C39:T39,"Y"),"")</f>
        <v/>
      </c>
      <c r="V39" s="28">
        <f>COUNTIF(C39:T39,"Y")</f>
        <v/>
      </c>
      <c r="W39" s="29">
        <f>SUMPRODUCT((C$7:$T$7=1)*(C39:T39="Y"))*50</f>
        <v/>
      </c>
    </row>
    <row r="40" ht="17" customHeight="1">
      <c r="A40" s="34" t="n">
        <v>22</v>
      </c>
      <c r="B40" s="35" t="inlineStr">
        <is>
          <t>Samuel</t>
        </is>
      </c>
      <c r="C40" s="27" t="inlineStr">
        <is>
          <t>Y</t>
        </is>
      </c>
      <c r="D40" s="19" t="n"/>
      <c r="E40" s="19" t="n"/>
      <c r="F40" s="19" t="n"/>
      <c r="G40" s="27" t="inlineStr">
        <is>
          <t>Y</t>
        </is>
      </c>
      <c r="H40" s="19" t="n"/>
      <c r="I40" s="19" t="n"/>
      <c r="J40" s="27" t="inlineStr">
        <is>
          <t>Y</t>
        </is>
      </c>
      <c r="K40" s="19" t="n"/>
      <c r="L40" s="27" t="inlineStr">
        <is>
          <t>Y</t>
        </is>
      </c>
      <c r="M40" s="19" t="n"/>
      <c r="N40" s="27" t="inlineStr">
        <is>
          <t>Y</t>
        </is>
      </c>
      <c r="O40" s="19" t="n"/>
      <c r="P40" s="27" t="inlineStr">
        <is>
          <t>Y</t>
        </is>
      </c>
      <c r="Q40" s="19" t="n"/>
      <c r="R40" s="27" t="inlineStr">
        <is>
          <t>Y</t>
        </is>
      </c>
      <c r="S40" s="27" t="inlineStr">
        <is>
          <t>Y</t>
        </is>
      </c>
      <c r="T40" s="19" t="n"/>
      <c r="U40" s="18">
        <f>IFERROR(AVERAGEIFS($C$7:$T$7,C40:T40,"Y"),"")</f>
        <v/>
      </c>
      <c r="V40" s="28">
        <f>COUNTIF(C40:T40,"Y")</f>
        <v/>
      </c>
      <c r="W40" s="29">
        <f>SUMPRODUCT((C$7:$T$7=1)*(C40:T40="Y"))*50</f>
        <v/>
      </c>
    </row>
    <row r="41" ht="17" customHeight="1">
      <c r="A41" s="31" t="n">
        <v>23</v>
      </c>
      <c r="B41" s="32" t="inlineStr">
        <is>
          <t>Zach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18">
        <f>IFERROR(AVERAGEIFS($C$7:$T$7,C41:T41,"Y"),"")</f>
        <v/>
      </c>
      <c r="V41" s="28">
        <f>COUNTIF(C41:T41,"Y")</f>
        <v/>
      </c>
      <c r="W41" s="29">
        <f>SUMPRODUCT((C$7:$T$7=1)*(C41:T41="Y"))*50</f>
        <v/>
      </c>
    </row>
    <row r="42" ht="18" customHeight="1">
      <c r="A42" s="3" t="inlineStr"/>
      <c r="B42" s="36" t="inlineStr">
        <is>
          <t>Total on shift</t>
        </is>
      </c>
      <c r="C42" s="6">
        <f>COUNTIF(C14:C41,"Y")</f>
        <v/>
      </c>
      <c r="D42" s="6">
        <f>COUNTIF(D14:D41,"Y")</f>
        <v/>
      </c>
      <c r="E42" s="6">
        <f>COUNTIF(E14:E41,"Y")</f>
        <v/>
      </c>
      <c r="F42" s="6">
        <f>COUNTIF(F14:F41,"Y")</f>
        <v/>
      </c>
      <c r="G42" s="6">
        <f>COUNTIF(G14:G41,"Y")</f>
        <v/>
      </c>
      <c r="H42" s="6">
        <f>COUNTIF(H14:H41,"Y")</f>
        <v/>
      </c>
      <c r="I42" s="6">
        <f>COUNTIF(I14:I41,"Y")</f>
        <v/>
      </c>
      <c r="J42" s="6">
        <f>COUNTIF(J14:J41,"Y")</f>
        <v/>
      </c>
      <c r="K42" s="6">
        <f>COUNTIF(K14:K41,"Y")</f>
        <v/>
      </c>
      <c r="L42" s="6">
        <f>COUNTIF(L14:L41,"Y")</f>
        <v/>
      </c>
      <c r="M42" s="6">
        <f>COUNTIF(M14:M41,"Y")</f>
        <v/>
      </c>
      <c r="N42" s="6">
        <f>COUNTIF(N14:N41,"Y")</f>
        <v/>
      </c>
      <c r="O42" s="6">
        <f>COUNTIF(O14:O41,"Y")</f>
        <v/>
      </c>
      <c r="P42" s="6">
        <f>COUNTIF(P14:P41,"Y")</f>
        <v/>
      </c>
      <c r="Q42" s="6">
        <f>COUNTIF(Q14:Q41,"Y")</f>
        <v/>
      </c>
      <c r="R42" s="6">
        <f>COUNTIF(R14:R41,"Y")</f>
        <v/>
      </c>
      <c r="S42" s="6">
        <f>COUNTIF(S14:S41,"Y")</f>
        <v/>
      </c>
      <c r="T42" s="6">
        <f>COUNTIF(T14:T41,"Y")</f>
        <v/>
      </c>
      <c r="U42" s="3" t="inlineStr"/>
      <c r="V42" s="6">
        <f>SUM(V14:V41)</f>
        <v/>
      </c>
      <c r="W42" s="37">
        <f>SUM(W14:W41)</f>
        <v/>
      </c>
    </row>
    <row r="43" ht="12" customHeight="1">
      <c r="A43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17:W17"/>
    <mergeCell ref="A18:W18"/>
    <mergeCell ref="A12:W12"/>
    <mergeCell ref="A43:W43"/>
    <mergeCell ref="A2:W2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Vicki L.</t>
        </is>
      </c>
      <c r="C14" s="26" t="n"/>
      <c r="D14" s="26" t="n"/>
      <c r="E14" s="26" t="n"/>
      <c r="F14" s="26" t="n"/>
      <c r="G14" s="26" t="n"/>
      <c r="H14" s="26" t="n"/>
      <c r="I14" s="26" t="n"/>
      <c r="J14" s="26" t="n"/>
      <c r="K14" s="27" t="inlineStr">
        <is>
          <t>Y</t>
        </is>
      </c>
      <c r="L14" s="26" t="n"/>
      <c r="M14" s="27" t="inlineStr">
        <is>
          <t>Y</t>
        </is>
      </c>
      <c r="N14" s="26" t="n"/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Kasey W.</t>
        </is>
      </c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7" t="inlineStr">
        <is>
          <t>Y</t>
        </is>
      </c>
      <c r="M15" s="26" t="n"/>
      <c r="N15" s="27" t="inlineStr">
        <is>
          <t>Y</t>
        </is>
      </c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Nathan R.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6" customHeight="1">
      <c r="A17" s="22" t="n"/>
    </row>
    <row r="18" ht="18" customHeight="1">
      <c r="A18" s="30" t="inlineStr">
        <is>
          <t>CREW</t>
        </is>
      </c>
    </row>
    <row r="19" ht="17" customHeight="1">
      <c r="A19" s="31" t="n">
        <v>1</v>
      </c>
      <c r="B19" s="32" t="inlineStr">
        <is>
          <t>Alen</t>
        </is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18">
        <f>IFERROR(AVERAGEIFS($C$7:$N$7,C19:N19,"Y"),"")</f>
        <v/>
      </c>
      <c r="P19" s="28">
        <f>COUNTIF(C19:N19,"Y")</f>
        <v/>
      </c>
      <c r="Q19" s="29">
        <f>SUMPRODUCT((C$7:$N$7=1)*(C19:N19="Y"))*50</f>
        <v/>
      </c>
    </row>
    <row r="20" ht="17" customHeight="1">
      <c r="A20" s="34" t="n">
        <v>2</v>
      </c>
      <c r="B20" s="35" t="inlineStr">
        <is>
          <t>Anthony</t>
        </is>
      </c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1" t="n">
        <v>3</v>
      </c>
      <c r="B21" s="32" t="inlineStr">
        <is>
          <t>Ash</t>
        </is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4" t="n">
        <v>4</v>
      </c>
      <c r="B22" s="35" t="inlineStr">
        <is>
          <t>Autumn</t>
        </is>
      </c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27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1" t="n">
        <v>5</v>
      </c>
      <c r="B23" s="32" t="inlineStr">
        <is>
          <t>Bri</t>
        </is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4" t="n">
        <v>6</v>
      </c>
      <c r="B24" s="35" t="inlineStr">
        <is>
          <t>Dakayla</t>
        </is>
      </c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1" t="n">
        <v>7</v>
      </c>
      <c r="B25" s="32" t="inlineStr">
        <is>
          <t>Damon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4" t="n">
        <v>8</v>
      </c>
      <c r="B26" s="35" t="inlineStr">
        <is>
          <t>Divan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1" t="n">
        <v>9</v>
      </c>
      <c r="B27" s="32" t="inlineStr">
        <is>
          <t>Francisco</t>
        </is>
      </c>
      <c r="C27" s="27" t="inlineStr">
        <is>
          <t>Y</t>
        </is>
      </c>
      <c r="D27" s="33" t="n"/>
      <c r="E27" s="33" t="n"/>
      <c r="F27" s="27" t="inlineStr">
        <is>
          <t>Y</t>
        </is>
      </c>
      <c r="G27" s="33" t="n"/>
      <c r="H27" s="27" t="inlineStr">
        <is>
          <t>Y</t>
        </is>
      </c>
      <c r="I27" s="27" t="inlineStr">
        <is>
          <t>Y</t>
        </is>
      </c>
      <c r="J27" s="33" t="n"/>
      <c r="K27" s="27" t="inlineStr">
        <is>
          <t>Y</t>
        </is>
      </c>
      <c r="L27" s="33" t="n"/>
      <c r="M27" s="27" t="inlineStr">
        <is>
          <t>Y</t>
        </is>
      </c>
      <c r="N27" s="33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4" t="n">
        <v>10</v>
      </c>
      <c r="B28" s="35" t="inlineStr">
        <is>
          <t>Grace</t>
        </is>
      </c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1" t="n">
        <v>11</v>
      </c>
      <c r="B29" s="32" t="inlineStr">
        <is>
          <t>Jada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27" t="inlineStr">
        <is>
          <t>Y</t>
        </is>
      </c>
      <c r="M29" s="33" t="n"/>
      <c r="N29" s="27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4" t="n">
        <v>12</v>
      </c>
      <c r="B30" s="35" t="inlineStr">
        <is>
          <t>Jeremiah</t>
        </is>
      </c>
      <c r="C30" s="19" t="n"/>
      <c r="D30" s="19" t="n"/>
      <c r="E30" s="19" t="n"/>
      <c r="F30" s="19" t="n"/>
      <c r="G30" s="19" t="n"/>
      <c r="H30" s="19" t="n"/>
      <c r="I30" s="27" t="inlineStr">
        <is>
          <t>Y</t>
        </is>
      </c>
      <c r="J30" s="19" t="n"/>
      <c r="K30" s="19" t="n"/>
      <c r="L30" s="27" t="inlineStr">
        <is>
          <t>Y</t>
        </is>
      </c>
      <c r="M30" s="27" t="inlineStr">
        <is>
          <t>Y</t>
        </is>
      </c>
      <c r="N30" s="27" t="inlineStr">
        <is>
          <t>Y</t>
        </is>
      </c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1" t="n">
        <v>13</v>
      </c>
      <c r="B31" s="32" t="inlineStr">
        <is>
          <t>Kable</t>
        </is>
      </c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4" t="n">
        <v>14</v>
      </c>
      <c r="B32" s="35" t="inlineStr">
        <is>
          <t>Kayla</t>
        </is>
      </c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1" t="n">
        <v>15</v>
      </c>
      <c r="B33" s="32" t="inlineStr">
        <is>
          <t>Kenzie</t>
        </is>
      </c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4" t="n">
        <v>16</v>
      </c>
      <c r="B34" s="35" t="inlineStr">
        <is>
          <t>Lidy</t>
        </is>
      </c>
      <c r="C34" s="19" t="n"/>
      <c r="D34" s="27" t="inlineStr">
        <is>
          <t>Y</t>
        </is>
      </c>
      <c r="E34" s="19" t="n"/>
      <c r="F34" s="19" t="n"/>
      <c r="G34" s="19" t="n"/>
      <c r="H34" s="19" t="n"/>
      <c r="I34" s="27" t="inlineStr">
        <is>
          <t>Y</t>
        </is>
      </c>
      <c r="J34" s="19" t="n"/>
      <c r="K34" s="27" t="inlineStr">
        <is>
          <t>Y</t>
        </is>
      </c>
      <c r="L34" s="19" t="n"/>
      <c r="M34" s="27" t="inlineStr">
        <is>
          <t>Y</t>
        </is>
      </c>
      <c r="N34" s="19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1" t="n">
        <v>17</v>
      </c>
      <c r="B35" s="32" t="inlineStr">
        <is>
          <t>Maylin</t>
        </is>
      </c>
      <c r="C35" s="33" t="n"/>
      <c r="D35" s="33" t="n"/>
      <c r="E35" s="27" t="inlineStr">
        <is>
          <t>Y</t>
        </is>
      </c>
      <c r="F35" s="27" t="inlineStr">
        <is>
          <t>Y</t>
        </is>
      </c>
      <c r="G35" s="33" t="n"/>
      <c r="H35" s="33" t="n"/>
      <c r="I35" s="33" t="n"/>
      <c r="J35" s="27" t="inlineStr">
        <is>
          <t>Y</t>
        </is>
      </c>
      <c r="K35" s="27" t="inlineStr">
        <is>
          <t>Y</t>
        </is>
      </c>
      <c r="L35" s="27" t="inlineStr">
        <is>
          <t>Y</t>
        </is>
      </c>
      <c r="M35" s="27" t="inlineStr">
        <is>
          <t>Y</t>
        </is>
      </c>
      <c r="N35" s="33" t="n"/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4" t="n">
        <v>18</v>
      </c>
      <c r="B36" s="35" t="inlineStr">
        <is>
          <t>Mike</t>
        </is>
      </c>
      <c r="C36" s="19" t="n"/>
      <c r="D36" s="19" t="n"/>
      <c r="E36" s="19" t="n"/>
      <c r="F36" s="19" t="n"/>
      <c r="G36" s="19" t="n"/>
      <c r="H36" s="19" t="n"/>
      <c r="I36" s="27" t="inlineStr">
        <is>
          <t>Y</t>
        </is>
      </c>
      <c r="J36" s="19" t="n"/>
      <c r="K36" s="27" t="inlineStr">
        <is>
          <t>Y</t>
        </is>
      </c>
      <c r="L36" s="19" t="n"/>
      <c r="M36" s="27" t="inlineStr">
        <is>
          <t>Y</t>
        </is>
      </c>
      <c r="N36" s="27" t="inlineStr">
        <is>
          <t>Y</t>
        </is>
      </c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1" t="n">
        <v>19</v>
      </c>
      <c r="B37" s="32" t="inlineStr">
        <is>
          <t>Nyatiek</t>
        </is>
      </c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4" t="n">
        <v>20</v>
      </c>
      <c r="B38" s="35" t="inlineStr">
        <is>
          <t>Richard</t>
        </is>
      </c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7" customHeight="1">
      <c r="A39" s="31" t="n">
        <v>21</v>
      </c>
      <c r="B39" s="32" t="inlineStr">
        <is>
          <t>Ryan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18">
        <f>IFERROR(AVERAGEIFS($C$7:$N$7,C39:N39,"Y"),"")</f>
        <v/>
      </c>
      <c r="P39" s="28">
        <f>COUNTIF(C39:N39,"Y")</f>
        <v/>
      </c>
      <c r="Q39" s="29">
        <f>SUMPRODUCT((C$7:$N$7=1)*(C39:N39="Y"))*50</f>
        <v/>
      </c>
    </row>
    <row r="40" ht="17" customHeight="1">
      <c r="A40" s="34" t="n">
        <v>22</v>
      </c>
      <c r="B40" s="35" t="inlineStr">
        <is>
          <t>Samuel</t>
        </is>
      </c>
      <c r="C40" s="19" t="n"/>
      <c r="D40" s="19" t="n"/>
      <c r="E40" s="27" t="inlineStr">
        <is>
          <t>Y</t>
        </is>
      </c>
      <c r="F40" s="19" t="n"/>
      <c r="G40" s="27" t="inlineStr">
        <is>
          <t>Y</t>
        </is>
      </c>
      <c r="H40" s="27" t="inlineStr">
        <is>
          <t>Y</t>
        </is>
      </c>
      <c r="I40" s="19" t="n"/>
      <c r="J40" s="27" t="inlineStr">
        <is>
          <t>Y</t>
        </is>
      </c>
      <c r="K40" s="19" t="n"/>
      <c r="L40" s="27" t="inlineStr">
        <is>
          <t>Y</t>
        </is>
      </c>
      <c r="M40" s="19" t="n"/>
      <c r="N40" s="19" t="n"/>
      <c r="O40" s="18">
        <f>IFERROR(AVERAGEIFS($C$7:$N$7,C40:N40,"Y"),"")</f>
        <v/>
      </c>
      <c r="P40" s="28">
        <f>COUNTIF(C40:N40,"Y")</f>
        <v/>
      </c>
      <c r="Q40" s="29">
        <f>SUMPRODUCT((C$7:$N$7=1)*(C40:N40="Y"))*50</f>
        <v/>
      </c>
    </row>
    <row r="41" ht="17" customHeight="1">
      <c r="A41" s="31" t="n">
        <v>23</v>
      </c>
      <c r="B41" s="32" t="inlineStr">
        <is>
          <t>Zach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18">
        <f>IFERROR(AVERAGEIFS($C$7:$N$7,C41:N41,"Y"),"")</f>
        <v/>
      </c>
      <c r="P41" s="28">
        <f>COUNTIF(C41:N41,"Y")</f>
        <v/>
      </c>
      <c r="Q41" s="29">
        <f>SUMPRODUCT((C$7:$N$7=1)*(C41:N41="Y"))*50</f>
        <v/>
      </c>
    </row>
    <row r="42" ht="18" customHeight="1">
      <c r="A42" s="3" t="inlineStr"/>
      <c r="B42" s="36" t="inlineStr">
        <is>
          <t>Total on shift</t>
        </is>
      </c>
      <c r="C42" s="6">
        <f>COUNTIF(C14:C41,"Y")</f>
        <v/>
      </c>
      <c r="D42" s="6">
        <f>COUNTIF(D14:D41,"Y")</f>
        <v/>
      </c>
      <c r="E42" s="6">
        <f>COUNTIF(E14:E41,"Y")</f>
        <v/>
      </c>
      <c r="F42" s="6">
        <f>COUNTIF(F14:F41,"Y")</f>
        <v/>
      </c>
      <c r="G42" s="6">
        <f>COUNTIF(G14:G41,"Y")</f>
        <v/>
      </c>
      <c r="H42" s="6">
        <f>COUNTIF(H14:H41,"Y")</f>
        <v/>
      </c>
      <c r="I42" s="6">
        <f>COUNTIF(I14:I41,"Y")</f>
        <v/>
      </c>
      <c r="J42" s="6">
        <f>COUNTIF(J14:J41,"Y")</f>
        <v/>
      </c>
      <c r="K42" s="6">
        <f>COUNTIF(K14:K41,"Y")</f>
        <v/>
      </c>
      <c r="L42" s="6">
        <f>COUNTIF(L14:L41,"Y")</f>
        <v/>
      </c>
      <c r="M42" s="6">
        <f>COUNTIF(M14:M41,"Y")</f>
        <v/>
      </c>
      <c r="N42" s="6">
        <f>COUNTIF(N14:N41,"Y")</f>
        <v/>
      </c>
      <c r="O42" s="3" t="inlineStr"/>
      <c r="P42" s="6">
        <f>SUM(P14:P41)</f>
        <v/>
      </c>
      <c r="Q42" s="37">
        <f>SUM(Q14:Q41)</f>
        <v/>
      </c>
    </row>
    <row r="43" ht="12" customHeight="1">
      <c r="A43" s="38" t="inlineStr">
        <is>
          <t>Y = on shift during shop's meal window. Personal Avg = average score of shops worked. Bonus = $50 per 100% shop worked.</t>
        </is>
      </c>
    </row>
  </sheetData>
  <mergeCells count="7">
    <mergeCell ref="A17:Q17"/>
    <mergeCell ref="A18:Q18"/>
    <mergeCell ref="A12:Q12"/>
    <mergeCell ref="A43:Q43"/>
    <mergeCell ref="A2:Q2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Vicki L.</t>
        </is>
      </c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7" t="inlineStr">
        <is>
          <t>Y</t>
        </is>
      </c>
      <c r="O14" s="26" t="n"/>
      <c r="P14" s="27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Kasey W.</t>
        </is>
      </c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7" t="inlineStr">
        <is>
          <t>Y</t>
        </is>
      </c>
      <c r="M15" s="26" t="n"/>
      <c r="N15" s="27" t="inlineStr">
        <is>
          <t>Y</t>
        </is>
      </c>
      <c r="O15" s="26" t="n"/>
      <c r="P15" s="26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Nathan R.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7" t="inlineStr">
        <is>
          <t>Y</t>
        </is>
      </c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6" customHeight="1">
      <c r="A17" s="22" t="n"/>
    </row>
    <row r="18" ht="18" customHeight="1">
      <c r="A18" s="30" t="inlineStr">
        <is>
          <t>CREW</t>
        </is>
      </c>
    </row>
    <row r="19" ht="17" customHeight="1">
      <c r="A19" s="31" t="n">
        <v>1</v>
      </c>
      <c r="B19" s="32" t="inlineStr">
        <is>
          <t>Alen</t>
        </is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18">
        <f>IFERROR(AVERAGEIFS($C$7:$P$7,C19:P19,"Y"),"")</f>
        <v/>
      </c>
      <c r="R19" s="28">
        <f>COUNTIF(C19:P19,"Y")</f>
        <v/>
      </c>
      <c r="S19" s="29">
        <f>SUMPRODUCT((C$7:$P$7=1)*(C19:P19="Y"))*50</f>
        <v/>
      </c>
    </row>
    <row r="20" ht="17" customHeight="1">
      <c r="A20" s="34" t="n">
        <v>2</v>
      </c>
      <c r="B20" s="35" t="inlineStr">
        <is>
          <t>Anthony</t>
        </is>
      </c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1" t="n">
        <v>3</v>
      </c>
      <c r="B21" s="32" t="inlineStr">
        <is>
          <t>Ash</t>
        </is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4" t="n">
        <v>4</v>
      </c>
      <c r="B22" s="35" t="inlineStr">
        <is>
          <t>Autumn</t>
        </is>
      </c>
      <c r="C22" s="19" t="n"/>
      <c r="D22" s="19" t="n"/>
      <c r="E22" s="19" t="n"/>
      <c r="F22" s="19" t="n"/>
      <c r="G22" s="19" t="n"/>
      <c r="H22" s="19" t="n"/>
      <c r="I22" s="19" t="n"/>
      <c r="J22" s="19" t="n"/>
      <c r="K22" s="27" t="inlineStr">
        <is>
          <t>Y</t>
        </is>
      </c>
      <c r="L22" s="27" t="inlineStr">
        <is>
          <t>Y</t>
        </is>
      </c>
      <c r="M22" s="19" t="n"/>
      <c r="N22" s="19" t="n"/>
      <c r="O22" s="27" t="inlineStr">
        <is>
          <t>Y</t>
        </is>
      </c>
      <c r="P22" s="19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1" t="n">
        <v>5</v>
      </c>
      <c r="B23" s="32" t="inlineStr">
        <is>
          <t>Bri</t>
        </is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27" t="inlineStr">
        <is>
          <t>Y</t>
        </is>
      </c>
      <c r="O23" s="33" t="n"/>
      <c r="P23" s="33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4" t="n">
        <v>6</v>
      </c>
      <c r="B24" s="35" t="inlineStr">
        <is>
          <t>Dakayla</t>
        </is>
      </c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1" t="n">
        <v>7</v>
      </c>
      <c r="B25" s="32" t="inlineStr">
        <is>
          <t>Damon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4" t="n">
        <v>8</v>
      </c>
      <c r="B26" s="35" t="inlineStr">
        <is>
          <t>Divan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1" t="n">
        <v>9</v>
      </c>
      <c r="B27" s="32" t="inlineStr">
        <is>
          <t>Francisco</t>
        </is>
      </c>
      <c r="C27" s="27" t="inlineStr">
        <is>
          <t>Y</t>
        </is>
      </c>
      <c r="D27" s="27" t="inlineStr">
        <is>
          <t>Y</t>
        </is>
      </c>
      <c r="E27" s="33" t="n"/>
      <c r="F27" s="33" t="n"/>
      <c r="G27" s="33" t="n"/>
      <c r="H27" s="27" t="inlineStr">
        <is>
          <t>Y</t>
        </is>
      </c>
      <c r="I27" s="27" t="inlineStr">
        <is>
          <t>Y</t>
        </is>
      </c>
      <c r="J27" s="33" t="n"/>
      <c r="K27" s="33" t="n"/>
      <c r="L27" s="27" t="inlineStr">
        <is>
          <t>Y</t>
        </is>
      </c>
      <c r="M27" s="27" t="inlineStr">
        <is>
          <t>Y</t>
        </is>
      </c>
      <c r="N27" s="27" t="inlineStr">
        <is>
          <t>Y</t>
        </is>
      </c>
      <c r="O27" s="33" t="n"/>
      <c r="P27" s="27" t="inlineStr">
        <is>
          <t>Y</t>
        </is>
      </c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4" t="n">
        <v>10</v>
      </c>
      <c r="B28" s="35" t="inlineStr">
        <is>
          <t>Grace</t>
        </is>
      </c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1" t="n">
        <v>11</v>
      </c>
      <c r="B29" s="32" t="inlineStr">
        <is>
          <t>Jada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27" t="inlineStr">
        <is>
          <t>Y</t>
        </is>
      </c>
      <c r="O29" s="27" t="inlineStr">
        <is>
          <t>Y</t>
        </is>
      </c>
      <c r="P29" s="33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4" t="n">
        <v>12</v>
      </c>
      <c r="B30" s="35" t="inlineStr">
        <is>
          <t>Jeremiah</t>
        </is>
      </c>
      <c r="C30" s="19" t="n"/>
      <c r="D30" s="19" t="n"/>
      <c r="E30" s="19" t="n"/>
      <c r="F30" s="27" t="inlineStr">
        <is>
          <t>Y</t>
        </is>
      </c>
      <c r="G30" s="27" t="inlineStr">
        <is>
          <t>Y</t>
        </is>
      </c>
      <c r="H30" s="19" t="n"/>
      <c r="I30" s="19" t="n"/>
      <c r="J30" s="19" t="n"/>
      <c r="K30" s="19" t="n"/>
      <c r="L30" s="19" t="n"/>
      <c r="M30" s="19" t="n"/>
      <c r="N30" s="27" t="inlineStr">
        <is>
          <t>Y</t>
        </is>
      </c>
      <c r="O30" s="19" t="n"/>
      <c r="P30" s="19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1" t="n">
        <v>13</v>
      </c>
      <c r="B31" s="32" t="inlineStr">
        <is>
          <t>Kable</t>
        </is>
      </c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4" t="n">
        <v>14</v>
      </c>
      <c r="B32" s="35" t="inlineStr">
        <is>
          <t>Kayla</t>
        </is>
      </c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1" t="n">
        <v>15</v>
      </c>
      <c r="B33" s="32" t="inlineStr">
        <is>
          <t>Kenzie</t>
        </is>
      </c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4" t="n">
        <v>16</v>
      </c>
      <c r="B34" s="35" t="inlineStr">
        <is>
          <t>Lidy</t>
        </is>
      </c>
      <c r="C34" s="19" t="n"/>
      <c r="D34" s="19" t="n"/>
      <c r="E34" s="27" t="inlineStr">
        <is>
          <t>Y</t>
        </is>
      </c>
      <c r="F34" s="27" t="inlineStr">
        <is>
          <t>Y</t>
        </is>
      </c>
      <c r="G34" s="19" t="n"/>
      <c r="H34" s="19" t="n"/>
      <c r="I34" s="19" t="n"/>
      <c r="J34" s="27" t="inlineStr">
        <is>
          <t>Y</t>
        </is>
      </c>
      <c r="K34" s="19" t="n"/>
      <c r="L34" s="19" t="n"/>
      <c r="M34" s="27" t="inlineStr">
        <is>
          <t>Y</t>
        </is>
      </c>
      <c r="N34" s="19" t="n"/>
      <c r="O34" s="19" t="n"/>
      <c r="P34" s="27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1" t="n">
        <v>17</v>
      </c>
      <c r="B35" s="32" t="inlineStr">
        <is>
          <t>Maylin</t>
        </is>
      </c>
      <c r="C35" s="33" t="n"/>
      <c r="D35" s="33" t="n"/>
      <c r="E35" s="33" t="n"/>
      <c r="F35" s="27" t="inlineStr">
        <is>
          <t>Y</t>
        </is>
      </c>
      <c r="G35" s="33" t="n"/>
      <c r="H35" s="33" t="n"/>
      <c r="I35" s="33" t="n"/>
      <c r="J35" s="27" t="inlineStr">
        <is>
          <t>Y</t>
        </is>
      </c>
      <c r="K35" s="33" t="n"/>
      <c r="L35" s="27" t="inlineStr">
        <is>
          <t>Y</t>
        </is>
      </c>
      <c r="M35" s="27" t="inlineStr">
        <is>
          <t>Y</t>
        </is>
      </c>
      <c r="N35" s="27" t="inlineStr">
        <is>
          <t>Y</t>
        </is>
      </c>
      <c r="O35" s="27" t="inlineStr">
        <is>
          <t>Y</t>
        </is>
      </c>
      <c r="P35" s="27" t="inlineStr">
        <is>
          <t>Y</t>
        </is>
      </c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4" t="n">
        <v>18</v>
      </c>
      <c r="B36" s="35" t="inlineStr">
        <is>
          <t>Mike</t>
        </is>
      </c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1" t="n">
        <v>19</v>
      </c>
      <c r="B37" s="32" t="inlineStr">
        <is>
          <t>Nyatiek</t>
        </is>
      </c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4" t="n">
        <v>20</v>
      </c>
      <c r="B38" s="35" t="inlineStr">
        <is>
          <t>Richard</t>
        </is>
      </c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7" customHeight="1">
      <c r="A39" s="31" t="n">
        <v>21</v>
      </c>
      <c r="B39" s="32" t="inlineStr">
        <is>
          <t>Ryan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18">
        <f>IFERROR(AVERAGEIFS($C$7:$P$7,C39:P39,"Y"),"")</f>
        <v/>
      </c>
      <c r="R39" s="28">
        <f>COUNTIF(C39:P39,"Y")</f>
        <v/>
      </c>
      <c r="S39" s="29">
        <f>SUMPRODUCT((C$7:$P$7=1)*(C39:P39="Y"))*50</f>
        <v/>
      </c>
    </row>
    <row r="40" ht="17" customHeight="1">
      <c r="A40" s="34" t="n">
        <v>22</v>
      </c>
      <c r="B40" s="35" t="inlineStr">
        <is>
          <t>Samuel</t>
        </is>
      </c>
      <c r="C40" s="19" t="n"/>
      <c r="D40" s="27" t="inlineStr">
        <is>
          <t>Y</t>
        </is>
      </c>
      <c r="E40" s="19" t="n"/>
      <c r="F40" s="19" t="n"/>
      <c r="G40" s="19" t="n"/>
      <c r="H40" s="27" t="inlineStr">
        <is>
          <t>Y</t>
        </is>
      </c>
      <c r="I40" s="19" t="n"/>
      <c r="J40" s="19" t="n"/>
      <c r="K40" s="19" t="n"/>
      <c r="L40" s="27" t="inlineStr">
        <is>
          <t>Y</t>
        </is>
      </c>
      <c r="M40" s="19" t="n"/>
      <c r="N40" s="19" t="n"/>
      <c r="O40" s="19" t="n"/>
      <c r="P40" s="19" t="n"/>
      <c r="Q40" s="18">
        <f>IFERROR(AVERAGEIFS($C$7:$P$7,C40:P40,"Y"),"")</f>
        <v/>
      </c>
      <c r="R40" s="28">
        <f>COUNTIF(C40:P40,"Y")</f>
        <v/>
      </c>
      <c r="S40" s="29">
        <f>SUMPRODUCT((C$7:$P$7=1)*(C40:P40="Y"))*50</f>
        <v/>
      </c>
    </row>
    <row r="41" ht="17" customHeight="1">
      <c r="A41" s="31" t="n">
        <v>23</v>
      </c>
      <c r="B41" s="32" t="inlineStr">
        <is>
          <t>Zach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18">
        <f>IFERROR(AVERAGEIFS($C$7:$P$7,C41:P41,"Y"),"")</f>
        <v/>
      </c>
      <c r="R41" s="28">
        <f>COUNTIF(C41:P41,"Y")</f>
        <v/>
      </c>
      <c r="S41" s="29">
        <f>SUMPRODUCT((C$7:$P$7=1)*(C41:P41="Y"))*50</f>
        <v/>
      </c>
    </row>
    <row r="42" ht="18" customHeight="1">
      <c r="A42" s="3" t="inlineStr"/>
      <c r="B42" s="36" t="inlineStr">
        <is>
          <t>Total on shift</t>
        </is>
      </c>
      <c r="C42" s="6">
        <f>COUNTIF(C14:C41,"Y")</f>
        <v/>
      </c>
      <c r="D42" s="6">
        <f>COUNTIF(D14:D41,"Y")</f>
        <v/>
      </c>
      <c r="E42" s="6">
        <f>COUNTIF(E14:E41,"Y")</f>
        <v/>
      </c>
      <c r="F42" s="6">
        <f>COUNTIF(F14:F41,"Y")</f>
        <v/>
      </c>
      <c r="G42" s="6">
        <f>COUNTIF(G14:G41,"Y")</f>
        <v/>
      </c>
      <c r="H42" s="6">
        <f>COUNTIF(H14:H41,"Y")</f>
        <v/>
      </c>
      <c r="I42" s="6">
        <f>COUNTIF(I14:I41,"Y")</f>
        <v/>
      </c>
      <c r="J42" s="6">
        <f>COUNTIF(J14:J41,"Y")</f>
        <v/>
      </c>
      <c r="K42" s="6">
        <f>COUNTIF(K14:K41,"Y")</f>
        <v/>
      </c>
      <c r="L42" s="6">
        <f>COUNTIF(L14:L41,"Y")</f>
        <v/>
      </c>
      <c r="M42" s="6">
        <f>COUNTIF(M14:M41,"Y")</f>
        <v/>
      </c>
      <c r="N42" s="6">
        <f>COUNTIF(N14:N41,"Y")</f>
        <v/>
      </c>
      <c r="O42" s="6">
        <f>COUNTIF(O14:O41,"Y")</f>
        <v/>
      </c>
      <c r="P42" s="6">
        <f>COUNTIF(P14:P41,"Y")</f>
        <v/>
      </c>
      <c r="Q42" s="3" t="inlineStr"/>
      <c r="R42" s="6">
        <f>SUM(R14:R41)</f>
        <v/>
      </c>
      <c r="S42" s="37">
        <f>SUM(S14:S41)</f>
        <v/>
      </c>
    </row>
    <row r="43" ht="12" customHeight="1">
      <c r="A43" s="38" t="inlineStr">
        <is>
          <t>Y = on shift during shop's meal window. Personal Avg = average score of shops worked. Bonus = $50 per 100% shop worked.</t>
        </is>
      </c>
    </row>
  </sheetData>
  <mergeCells count="7">
    <mergeCell ref="A43:S43"/>
    <mergeCell ref="A13:S13"/>
    <mergeCell ref="A1:S1"/>
    <mergeCell ref="A17:S17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Vicki L.</t>
        </is>
      </c>
      <c r="C14" s="26" t="n"/>
      <c r="D14" s="26" t="n"/>
      <c r="E14" s="26" t="n"/>
      <c r="F14" s="26" t="n"/>
      <c r="G14" s="26" t="n"/>
      <c r="H14" s="26" t="n"/>
      <c r="I14" s="26" t="n"/>
      <c r="J14" s="26" t="n"/>
      <c r="K14" s="27" t="inlineStr">
        <is>
          <t>Y</t>
        </is>
      </c>
      <c r="L14" s="26" t="n"/>
      <c r="M14" s="27" t="inlineStr">
        <is>
          <t>Y</t>
        </is>
      </c>
      <c r="N14" s="26" t="n"/>
      <c r="O14" s="26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Kasey W.</t>
        </is>
      </c>
      <c r="C15" s="26" t="n"/>
      <c r="D15" s="26" t="n"/>
      <c r="E15" s="26" t="n"/>
      <c r="F15" s="26" t="n"/>
      <c r="G15" s="26" t="n"/>
      <c r="H15" s="26" t="n"/>
      <c r="I15" s="26" t="n"/>
      <c r="J15" s="26" t="n"/>
      <c r="K15" s="27" t="inlineStr">
        <is>
          <t>Y</t>
        </is>
      </c>
      <c r="L15" s="26" t="n"/>
      <c r="M15" s="26" t="n"/>
      <c r="N15" s="27" t="inlineStr">
        <is>
          <t>Y</t>
        </is>
      </c>
      <c r="O15" s="26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Nathan R.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7" t="inlineStr">
        <is>
          <t>Y</t>
        </is>
      </c>
      <c r="M16" s="26" t="n"/>
      <c r="N16" s="27" t="inlineStr">
        <is>
          <t>Y</t>
        </is>
      </c>
      <c r="O16" s="27" t="inlineStr">
        <is>
          <t>Y</t>
        </is>
      </c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6" customHeight="1">
      <c r="A17" s="22" t="n"/>
    </row>
    <row r="18" ht="18" customHeight="1">
      <c r="A18" s="30" t="inlineStr">
        <is>
          <t>CREW</t>
        </is>
      </c>
    </row>
    <row r="19" ht="17" customHeight="1">
      <c r="A19" s="31" t="n">
        <v>1</v>
      </c>
      <c r="B19" s="32" t="inlineStr">
        <is>
          <t>Alen</t>
        </is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18">
        <f>IFERROR(AVERAGEIFS($C$7:$O$7,C19:O19,"Y"),"")</f>
        <v/>
      </c>
      <c r="Q19" s="28">
        <f>COUNTIF(C19:O19,"Y")</f>
        <v/>
      </c>
      <c r="R19" s="29">
        <f>SUMPRODUCT((C$7:$O$7=1)*(C19:O19="Y"))*50</f>
        <v/>
      </c>
    </row>
    <row r="20" ht="17" customHeight="1">
      <c r="A20" s="34" t="n">
        <v>2</v>
      </c>
      <c r="B20" s="35" t="inlineStr">
        <is>
          <t>Anthony</t>
        </is>
      </c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1" t="n">
        <v>3</v>
      </c>
      <c r="B21" s="32" t="inlineStr">
        <is>
          <t>Ash</t>
        </is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4" t="n">
        <v>4</v>
      </c>
      <c r="B22" s="35" t="inlineStr">
        <is>
          <t>Autumn</t>
        </is>
      </c>
      <c r="C22" s="19" t="n"/>
      <c r="D22" s="19" t="n"/>
      <c r="E22" s="19" t="n"/>
      <c r="F22" s="19" t="n"/>
      <c r="G22" s="27" t="inlineStr">
        <is>
          <t>Y</t>
        </is>
      </c>
      <c r="H22" s="27" t="inlineStr">
        <is>
          <t>Y</t>
        </is>
      </c>
      <c r="I22" s="19" t="n"/>
      <c r="J22" s="27" t="inlineStr">
        <is>
          <t>Y</t>
        </is>
      </c>
      <c r="K22" s="19" t="n"/>
      <c r="L22" s="19" t="n"/>
      <c r="M22" s="19" t="n"/>
      <c r="N22" s="27" t="inlineStr">
        <is>
          <t>Y</t>
        </is>
      </c>
      <c r="O22" s="19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1" t="n">
        <v>5</v>
      </c>
      <c r="B23" s="32" t="inlineStr">
        <is>
          <t>Bri</t>
        </is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27" t="inlineStr">
        <is>
          <t>Y</t>
        </is>
      </c>
      <c r="O23" s="33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4" t="n">
        <v>6</v>
      </c>
      <c r="B24" s="35" t="inlineStr">
        <is>
          <t>Dakayla</t>
        </is>
      </c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27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1" t="n">
        <v>7</v>
      </c>
      <c r="B25" s="32" t="inlineStr">
        <is>
          <t>Damon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4" t="n">
        <v>8</v>
      </c>
      <c r="B26" s="35" t="inlineStr">
        <is>
          <t>Divan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1" t="n">
        <v>9</v>
      </c>
      <c r="B27" s="32" t="inlineStr">
        <is>
          <t>Francisco</t>
        </is>
      </c>
      <c r="C27" s="27" t="inlineStr">
        <is>
          <t>Y</t>
        </is>
      </c>
      <c r="D27" s="27" t="inlineStr">
        <is>
          <t>Y</t>
        </is>
      </c>
      <c r="E27" s="33" t="n"/>
      <c r="F27" s="33" t="n"/>
      <c r="G27" s="33" t="n"/>
      <c r="H27" s="33" t="n"/>
      <c r="I27" s="33" t="n"/>
      <c r="J27" s="33" t="n"/>
      <c r="K27" s="27" t="inlineStr">
        <is>
          <t>Y</t>
        </is>
      </c>
      <c r="L27" s="33" t="n"/>
      <c r="M27" s="27" t="inlineStr">
        <is>
          <t>Y</t>
        </is>
      </c>
      <c r="N27" s="33" t="n"/>
      <c r="O27" s="33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4" t="n">
        <v>10</v>
      </c>
      <c r="B28" s="35" t="inlineStr">
        <is>
          <t>Grace</t>
        </is>
      </c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1" t="n">
        <v>11</v>
      </c>
      <c r="B29" s="32" t="inlineStr">
        <is>
          <t>Jada</t>
        </is>
      </c>
      <c r="C29" s="33" t="n"/>
      <c r="D29" s="33" t="n"/>
      <c r="E29" s="33" t="n"/>
      <c r="F29" s="33" t="n"/>
      <c r="G29" s="33" t="n"/>
      <c r="H29" s="33" t="n"/>
      <c r="I29" s="33" t="n"/>
      <c r="J29" s="27" t="inlineStr">
        <is>
          <t>Y</t>
        </is>
      </c>
      <c r="K29" s="33" t="n"/>
      <c r="L29" s="33" t="n"/>
      <c r="M29" s="33" t="n"/>
      <c r="N29" s="33" t="n"/>
      <c r="O29" s="33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4" t="n">
        <v>12</v>
      </c>
      <c r="B30" s="35" t="inlineStr">
        <is>
          <t>Jeremiah</t>
        </is>
      </c>
      <c r="C30" s="19" t="n"/>
      <c r="D30" s="27" t="inlineStr">
        <is>
          <t>Y</t>
        </is>
      </c>
      <c r="E30" s="19" t="n"/>
      <c r="F30" s="19" t="n"/>
      <c r="G30" s="27" t="inlineStr">
        <is>
          <t>Y</t>
        </is>
      </c>
      <c r="H30" s="27" t="inlineStr">
        <is>
          <t>Y</t>
        </is>
      </c>
      <c r="I30" s="27" t="inlineStr">
        <is>
          <t>Y</t>
        </is>
      </c>
      <c r="J30" s="27" t="inlineStr">
        <is>
          <t>Y</t>
        </is>
      </c>
      <c r="K30" s="27" t="inlineStr">
        <is>
          <t>Y</t>
        </is>
      </c>
      <c r="L30" s="27" t="inlineStr">
        <is>
          <t>Y</t>
        </is>
      </c>
      <c r="M30" s="19" t="n"/>
      <c r="N30" s="19" t="n"/>
      <c r="O30" s="19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1" t="n">
        <v>13</v>
      </c>
      <c r="B31" s="32" t="inlineStr">
        <is>
          <t>Kable</t>
        </is>
      </c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4" t="n">
        <v>14</v>
      </c>
      <c r="B32" s="35" t="inlineStr">
        <is>
          <t>Kayla</t>
        </is>
      </c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1" t="n">
        <v>15</v>
      </c>
      <c r="B33" s="32" t="inlineStr">
        <is>
          <t>Kenzie</t>
        </is>
      </c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4" t="n">
        <v>16</v>
      </c>
      <c r="B34" s="35" t="inlineStr">
        <is>
          <t>Lidy</t>
        </is>
      </c>
      <c r="C34" s="27" t="inlineStr">
        <is>
          <t>Y</t>
        </is>
      </c>
      <c r="D34" s="19" t="n"/>
      <c r="E34" s="19" t="n"/>
      <c r="F34" s="27" t="inlineStr">
        <is>
          <t>Y</t>
        </is>
      </c>
      <c r="G34" s="19" t="n"/>
      <c r="H34" s="19" t="n"/>
      <c r="I34" s="27" t="inlineStr">
        <is>
          <t>Y</t>
        </is>
      </c>
      <c r="J34" s="19" t="n"/>
      <c r="K34" s="27" t="inlineStr">
        <is>
          <t>Y</t>
        </is>
      </c>
      <c r="L34" s="19" t="n"/>
      <c r="M34" s="27" t="inlineStr">
        <is>
          <t>Y</t>
        </is>
      </c>
      <c r="N34" s="19" t="n"/>
      <c r="O34" s="27" t="inlineStr">
        <is>
          <t>Y</t>
        </is>
      </c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1" t="n">
        <v>17</v>
      </c>
      <c r="B35" s="32" t="inlineStr">
        <is>
          <t>Maylin</t>
        </is>
      </c>
      <c r="C35" s="33" t="n"/>
      <c r="D35" s="33" t="n"/>
      <c r="E35" s="33" t="n"/>
      <c r="F35" s="27" t="inlineStr">
        <is>
          <t>Y</t>
        </is>
      </c>
      <c r="G35" s="33" t="n"/>
      <c r="H35" s="33" t="n"/>
      <c r="I35" s="27" t="inlineStr">
        <is>
          <t>Y</t>
        </is>
      </c>
      <c r="J35" s="27" t="inlineStr">
        <is>
          <t>Y</t>
        </is>
      </c>
      <c r="K35" s="33" t="n"/>
      <c r="L35" s="33" t="n"/>
      <c r="M35" s="33" t="n"/>
      <c r="N35" s="27" t="inlineStr">
        <is>
          <t>Y</t>
        </is>
      </c>
      <c r="O35" s="33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4" t="n">
        <v>18</v>
      </c>
      <c r="B36" s="35" t="inlineStr">
        <is>
          <t>Mike</t>
        </is>
      </c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1" t="n">
        <v>19</v>
      </c>
      <c r="B37" s="32" t="inlineStr">
        <is>
          <t>Nyatiek</t>
        </is>
      </c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4" t="n">
        <v>20</v>
      </c>
      <c r="B38" s="35" t="inlineStr">
        <is>
          <t>Richard</t>
        </is>
      </c>
      <c r="C38" s="19" t="n"/>
      <c r="D38" s="19" t="n"/>
      <c r="E38" s="19" t="n"/>
      <c r="F38" s="19" t="n"/>
      <c r="G38" s="19" t="n"/>
      <c r="H38" s="19" t="n"/>
      <c r="I38" s="19" t="n"/>
      <c r="J38" s="27" t="inlineStr">
        <is>
          <t>Y</t>
        </is>
      </c>
      <c r="K38" s="19" t="n"/>
      <c r="L38" s="27" t="inlineStr">
        <is>
          <t>Y</t>
        </is>
      </c>
      <c r="M38" s="27" t="inlineStr">
        <is>
          <t>Y</t>
        </is>
      </c>
      <c r="N38" s="27" t="inlineStr">
        <is>
          <t>Y</t>
        </is>
      </c>
      <c r="O38" s="19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7" customHeight="1">
      <c r="A39" s="31" t="n">
        <v>21</v>
      </c>
      <c r="B39" s="32" t="inlineStr">
        <is>
          <t>Ryan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18">
        <f>IFERROR(AVERAGEIFS($C$7:$O$7,C39:O39,"Y"),"")</f>
        <v/>
      </c>
      <c r="Q39" s="28">
        <f>COUNTIF(C39:O39,"Y")</f>
        <v/>
      </c>
      <c r="R39" s="29">
        <f>SUMPRODUCT((C$7:$O$7=1)*(C39:O39="Y"))*50</f>
        <v/>
      </c>
    </row>
    <row r="40" ht="17" customHeight="1">
      <c r="A40" s="34" t="n">
        <v>22</v>
      </c>
      <c r="B40" s="35" t="inlineStr">
        <is>
          <t>Samuel</t>
        </is>
      </c>
      <c r="C40" s="19" t="n"/>
      <c r="D40" s="19" t="n"/>
      <c r="E40" s="27" t="inlineStr">
        <is>
          <t>Y</t>
        </is>
      </c>
      <c r="F40" s="19" t="n"/>
      <c r="G40" s="27" t="inlineStr">
        <is>
          <t>Y</t>
        </is>
      </c>
      <c r="H40" s="27" t="inlineStr">
        <is>
          <t>Y</t>
        </is>
      </c>
      <c r="I40" s="19" t="n"/>
      <c r="J40" s="27" t="inlineStr">
        <is>
          <t>Y</t>
        </is>
      </c>
      <c r="K40" s="19" t="n"/>
      <c r="L40" s="19" t="n"/>
      <c r="M40" s="19" t="n"/>
      <c r="N40" s="19" t="n"/>
      <c r="O40" s="19" t="n"/>
      <c r="P40" s="18">
        <f>IFERROR(AVERAGEIFS($C$7:$O$7,C40:O40,"Y"),"")</f>
        <v/>
      </c>
      <c r="Q40" s="28">
        <f>COUNTIF(C40:O40,"Y")</f>
        <v/>
      </c>
      <c r="R40" s="29">
        <f>SUMPRODUCT((C$7:$O$7=1)*(C40:O40="Y"))*50</f>
        <v/>
      </c>
    </row>
    <row r="41" ht="17" customHeight="1">
      <c r="A41" s="31" t="n">
        <v>23</v>
      </c>
      <c r="B41" s="32" t="inlineStr">
        <is>
          <t>Zach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18">
        <f>IFERROR(AVERAGEIFS($C$7:$O$7,C41:O41,"Y"),"")</f>
        <v/>
      </c>
      <c r="Q41" s="28">
        <f>COUNTIF(C41:O41,"Y")</f>
        <v/>
      </c>
      <c r="R41" s="29">
        <f>SUMPRODUCT((C$7:$O$7=1)*(C41:O41="Y"))*50</f>
        <v/>
      </c>
    </row>
    <row r="42" ht="18" customHeight="1">
      <c r="A42" s="3" t="inlineStr"/>
      <c r="B42" s="36" t="inlineStr">
        <is>
          <t>Total on shift</t>
        </is>
      </c>
      <c r="C42" s="6">
        <f>COUNTIF(C14:C41,"Y")</f>
        <v/>
      </c>
      <c r="D42" s="6">
        <f>COUNTIF(D14:D41,"Y")</f>
        <v/>
      </c>
      <c r="E42" s="6">
        <f>COUNTIF(E14:E41,"Y")</f>
        <v/>
      </c>
      <c r="F42" s="6">
        <f>COUNTIF(F14:F41,"Y")</f>
        <v/>
      </c>
      <c r="G42" s="6">
        <f>COUNTIF(G14:G41,"Y")</f>
        <v/>
      </c>
      <c r="H42" s="6">
        <f>COUNTIF(H14:H41,"Y")</f>
        <v/>
      </c>
      <c r="I42" s="6">
        <f>COUNTIF(I14:I41,"Y")</f>
        <v/>
      </c>
      <c r="J42" s="6">
        <f>COUNTIF(J14:J41,"Y")</f>
        <v/>
      </c>
      <c r="K42" s="6">
        <f>COUNTIF(K14:K41,"Y")</f>
        <v/>
      </c>
      <c r="L42" s="6">
        <f>COUNTIF(L14:L41,"Y")</f>
        <v/>
      </c>
      <c r="M42" s="6">
        <f>COUNTIF(M14:M41,"Y")</f>
        <v/>
      </c>
      <c r="N42" s="6">
        <f>COUNTIF(N14:N41,"Y")</f>
        <v/>
      </c>
      <c r="O42" s="6">
        <f>COUNTIF(O14:O41,"Y")</f>
        <v/>
      </c>
      <c r="P42" s="3" t="inlineStr"/>
      <c r="Q42" s="6">
        <f>SUM(Q14:Q41)</f>
        <v/>
      </c>
      <c r="R42" s="37">
        <f>SUM(R14:R41)</f>
        <v/>
      </c>
    </row>
    <row r="43" ht="12" customHeight="1">
      <c r="A43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43:R43"/>
    <mergeCell ref="A2:R2"/>
    <mergeCell ref="A13:R13"/>
    <mergeCell ref="A1:R1"/>
    <mergeCell ref="A17:R17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Vicki L.</t>
        </is>
      </c>
      <c r="C14" s="26" t="n"/>
      <c r="D14" s="26" t="n"/>
      <c r="E14" s="26" t="n"/>
      <c r="F14" s="26" t="n"/>
      <c r="G14" s="26" t="n"/>
      <c r="H14" s="26" t="n"/>
      <c r="I14" s="26" t="n"/>
      <c r="J14" s="26" t="n"/>
      <c r="K14" s="27" t="inlineStr">
        <is>
          <t>Y</t>
        </is>
      </c>
      <c r="L14" s="26" t="n"/>
      <c r="M14" s="27" t="inlineStr">
        <is>
          <t>Y</t>
        </is>
      </c>
      <c r="N14" s="26" t="n"/>
      <c r="O14" s="27" t="inlineStr">
        <is>
          <t>Y</t>
        </is>
      </c>
      <c r="P14" s="26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Kasey W.</t>
        </is>
      </c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Nathan R.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7" t="inlineStr">
        <is>
          <t>Y</t>
        </is>
      </c>
      <c r="N16" s="26" t="n"/>
      <c r="O16" s="26" t="n"/>
      <c r="P16" s="27" t="inlineStr">
        <is>
          <t>Y</t>
        </is>
      </c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6" customHeight="1">
      <c r="A17" s="22" t="n"/>
    </row>
    <row r="18" ht="18" customHeight="1">
      <c r="A18" s="30" t="inlineStr">
        <is>
          <t>CREW</t>
        </is>
      </c>
    </row>
    <row r="19" ht="17" customHeight="1">
      <c r="A19" s="31" t="n">
        <v>1</v>
      </c>
      <c r="B19" s="32" t="inlineStr">
        <is>
          <t>Alen</t>
        </is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18">
        <f>IFERROR(AVERAGEIFS($C$7:$P$7,C19:P19,"Y"),"")</f>
        <v/>
      </c>
      <c r="R19" s="28">
        <f>COUNTIF(C19:P19,"Y")</f>
        <v/>
      </c>
      <c r="S19" s="29">
        <f>SUMPRODUCT((C$7:$P$7=1)*(C19:P19="Y"))*50</f>
        <v/>
      </c>
    </row>
    <row r="20" ht="17" customHeight="1">
      <c r="A20" s="34" t="n">
        <v>2</v>
      </c>
      <c r="B20" s="35" t="inlineStr">
        <is>
          <t>Anthony</t>
        </is>
      </c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1" t="n">
        <v>3</v>
      </c>
      <c r="B21" s="32" t="inlineStr">
        <is>
          <t>Ash</t>
        </is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4" t="n">
        <v>4</v>
      </c>
      <c r="B22" s="35" t="inlineStr">
        <is>
          <t>Autumn</t>
        </is>
      </c>
      <c r="C22" s="19" t="n"/>
      <c r="D22" s="19" t="n"/>
      <c r="E22" s="19" t="n"/>
      <c r="F22" s="19" t="n"/>
      <c r="G22" s="27" t="inlineStr">
        <is>
          <t>Y</t>
        </is>
      </c>
      <c r="H22" s="27" t="inlineStr">
        <is>
          <t>Y</t>
        </is>
      </c>
      <c r="I22" s="19" t="n"/>
      <c r="J22" s="19" t="n"/>
      <c r="K22" s="19" t="n"/>
      <c r="L22" s="19" t="n"/>
      <c r="M22" s="19" t="n"/>
      <c r="N22" s="19" t="n"/>
      <c r="O22" s="19" t="n"/>
      <c r="P22" s="27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1" t="n">
        <v>5</v>
      </c>
      <c r="B23" s="32" t="inlineStr">
        <is>
          <t>Bri</t>
        </is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27" t="inlineStr">
        <is>
          <t>Y</t>
        </is>
      </c>
      <c r="M23" s="33" t="n"/>
      <c r="N23" s="33" t="n"/>
      <c r="O23" s="33" t="n"/>
      <c r="P23" s="33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4" t="n">
        <v>6</v>
      </c>
      <c r="B24" s="35" t="inlineStr">
        <is>
          <t>Dakayla</t>
        </is>
      </c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27" t="inlineStr">
        <is>
          <t>Y</t>
        </is>
      </c>
      <c r="M24" s="19" t="n"/>
      <c r="N24" s="19" t="n"/>
      <c r="O24" s="19" t="n"/>
      <c r="P24" s="19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1" t="n">
        <v>7</v>
      </c>
      <c r="B25" s="32" t="inlineStr">
        <is>
          <t>Damon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4" t="n">
        <v>8</v>
      </c>
      <c r="B26" s="35" t="inlineStr">
        <is>
          <t>Divan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1" t="n">
        <v>9</v>
      </c>
      <c r="B27" s="32" t="inlineStr">
        <is>
          <t>Francisco</t>
        </is>
      </c>
      <c r="C27" s="33" t="n"/>
      <c r="D27" s="33" t="n"/>
      <c r="E27" s="27" t="inlineStr">
        <is>
          <t>Y</t>
        </is>
      </c>
      <c r="F27" s="33" t="n"/>
      <c r="G27" s="33" t="n"/>
      <c r="H27" s="33" t="n"/>
      <c r="I27" s="33" t="n"/>
      <c r="J27" s="33" t="n"/>
      <c r="K27" s="27" t="inlineStr">
        <is>
          <t>Y</t>
        </is>
      </c>
      <c r="L27" s="27" t="inlineStr">
        <is>
          <t>Y</t>
        </is>
      </c>
      <c r="M27" s="33" t="n"/>
      <c r="N27" s="27" t="inlineStr">
        <is>
          <t>Y</t>
        </is>
      </c>
      <c r="O27" s="27" t="inlineStr">
        <is>
          <t>Y</t>
        </is>
      </c>
      <c r="P27" s="27" t="inlineStr">
        <is>
          <t>Y</t>
        </is>
      </c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4" t="n">
        <v>10</v>
      </c>
      <c r="B28" s="35" t="inlineStr">
        <is>
          <t>Grace</t>
        </is>
      </c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1" t="n">
        <v>11</v>
      </c>
      <c r="B29" s="32" t="inlineStr">
        <is>
          <t>Jada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27" t="inlineStr">
        <is>
          <t>Y</t>
        </is>
      </c>
      <c r="O29" s="33" t="n"/>
      <c r="P29" s="27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4" t="n">
        <v>12</v>
      </c>
      <c r="B30" s="35" t="inlineStr">
        <is>
          <t>Jeremiah</t>
        </is>
      </c>
      <c r="C30" s="19" t="n"/>
      <c r="D30" s="27" t="inlineStr">
        <is>
          <t>Y</t>
        </is>
      </c>
      <c r="E30" s="27" t="inlineStr">
        <is>
          <t>Y</t>
        </is>
      </c>
      <c r="F30" s="27" t="inlineStr">
        <is>
          <t>Y</t>
        </is>
      </c>
      <c r="G30" s="27" t="inlineStr">
        <is>
          <t>Y</t>
        </is>
      </c>
      <c r="H30" s="27" t="inlineStr">
        <is>
          <t>Y</t>
        </is>
      </c>
      <c r="I30" s="27" t="inlineStr">
        <is>
          <t>Y</t>
        </is>
      </c>
      <c r="J30" s="27" t="inlineStr">
        <is>
          <t>Y</t>
        </is>
      </c>
      <c r="K30" s="19" t="n"/>
      <c r="L30" s="19" t="n"/>
      <c r="M30" s="27" t="inlineStr">
        <is>
          <t>Y</t>
        </is>
      </c>
      <c r="N30" s="27" t="inlineStr">
        <is>
          <t>Y</t>
        </is>
      </c>
      <c r="O30" s="19" t="n"/>
      <c r="P30" s="27" t="inlineStr">
        <is>
          <t>Y</t>
        </is>
      </c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1" t="n">
        <v>13</v>
      </c>
      <c r="B31" s="32" t="inlineStr">
        <is>
          <t>Kable</t>
        </is>
      </c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4" t="n">
        <v>14</v>
      </c>
      <c r="B32" s="35" t="inlineStr">
        <is>
          <t>Kayla</t>
        </is>
      </c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1" t="n">
        <v>15</v>
      </c>
      <c r="B33" s="32" t="inlineStr">
        <is>
          <t>Kenzie</t>
        </is>
      </c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4" t="n">
        <v>16</v>
      </c>
      <c r="B34" s="35" t="inlineStr">
        <is>
          <t>Lidy</t>
        </is>
      </c>
      <c r="C34" s="19" t="n"/>
      <c r="D34" s="27" t="inlineStr">
        <is>
          <t>Y</t>
        </is>
      </c>
      <c r="E34" s="19" t="n"/>
      <c r="F34" s="19" t="n"/>
      <c r="G34" s="19" t="n"/>
      <c r="H34" s="19" t="n"/>
      <c r="I34" s="19" t="n"/>
      <c r="J34" s="27" t="inlineStr">
        <is>
          <t>Y</t>
        </is>
      </c>
      <c r="K34" s="27" t="inlineStr">
        <is>
          <t>Y</t>
        </is>
      </c>
      <c r="L34" s="19" t="n"/>
      <c r="M34" s="27" t="inlineStr">
        <is>
          <t>Y</t>
        </is>
      </c>
      <c r="N34" s="19" t="n"/>
      <c r="O34" s="27" t="inlineStr">
        <is>
          <t>Y</t>
        </is>
      </c>
      <c r="P34" s="19" t="n"/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1" t="n">
        <v>17</v>
      </c>
      <c r="B35" s="32" t="inlineStr">
        <is>
          <t>Maylin</t>
        </is>
      </c>
      <c r="C35" s="33" t="n"/>
      <c r="D35" s="27" t="inlineStr">
        <is>
          <t>Y</t>
        </is>
      </c>
      <c r="E35" s="33" t="n"/>
      <c r="F35" s="33" t="n"/>
      <c r="G35" s="33" t="n"/>
      <c r="H35" s="33" t="n"/>
      <c r="I35" s="33" t="n"/>
      <c r="J35" s="33" t="n"/>
      <c r="K35" s="33" t="n"/>
      <c r="L35" s="27" t="inlineStr">
        <is>
          <t>Y</t>
        </is>
      </c>
      <c r="M35" s="33" t="n"/>
      <c r="N35" s="33" t="n"/>
      <c r="O35" s="27" t="inlineStr">
        <is>
          <t>Y</t>
        </is>
      </c>
      <c r="P35" s="27" t="inlineStr">
        <is>
          <t>Y</t>
        </is>
      </c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4" t="n">
        <v>18</v>
      </c>
      <c r="B36" s="35" t="inlineStr">
        <is>
          <t>Mike</t>
        </is>
      </c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1" t="n">
        <v>19</v>
      </c>
      <c r="B37" s="32" t="inlineStr">
        <is>
          <t>Nyatiek</t>
        </is>
      </c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4" t="n">
        <v>20</v>
      </c>
      <c r="B38" s="35" t="inlineStr">
        <is>
          <t>Richard</t>
        </is>
      </c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27" t="inlineStr">
        <is>
          <t>Y</t>
        </is>
      </c>
      <c r="N38" s="19" t="n"/>
      <c r="O38" s="19" t="n"/>
      <c r="P38" s="19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7" customHeight="1">
      <c r="A39" s="31" t="n">
        <v>21</v>
      </c>
      <c r="B39" s="32" t="inlineStr">
        <is>
          <t>Ryan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18">
        <f>IFERROR(AVERAGEIFS($C$7:$P$7,C39:P39,"Y"),"")</f>
        <v/>
      </c>
      <c r="R39" s="28">
        <f>COUNTIF(C39:P39,"Y")</f>
        <v/>
      </c>
      <c r="S39" s="29">
        <f>SUMPRODUCT((C$7:$P$7=1)*(C39:P39="Y"))*50</f>
        <v/>
      </c>
    </row>
    <row r="40" ht="17" customHeight="1">
      <c r="A40" s="34" t="n">
        <v>22</v>
      </c>
      <c r="B40" s="35" t="inlineStr">
        <is>
          <t>Samuel</t>
        </is>
      </c>
      <c r="C40" s="27" t="inlineStr">
        <is>
          <t>Y</t>
        </is>
      </c>
      <c r="D40" s="19" t="n"/>
      <c r="E40" s="27" t="inlineStr">
        <is>
          <t>Y</t>
        </is>
      </c>
      <c r="F40" s="19" t="n"/>
      <c r="G40" s="19" t="n"/>
      <c r="H40" s="19" t="n"/>
      <c r="I40" s="27" t="inlineStr">
        <is>
          <t>Y</t>
        </is>
      </c>
      <c r="J40" s="19" t="n"/>
      <c r="K40" s="19" t="n"/>
      <c r="L40" s="19" t="n"/>
      <c r="M40" s="19" t="n"/>
      <c r="N40" s="19" t="n"/>
      <c r="O40" s="19" t="n"/>
      <c r="P40" s="19" t="n"/>
      <c r="Q40" s="18">
        <f>IFERROR(AVERAGEIFS($C$7:$P$7,C40:P40,"Y"),"")</f>
        <v/>
      </c>
      <c r="R40" s="28">
        <f>COUNTIF(C40:P40,"Y")</f>
        <v/>
      </c>
      <c r="S40" s="29">
        <f>SUMPRODUCT((C$7:$P$7=1)*(C40:P40="Y"))*50</f>
        <v/>
      </c>
    </row>
    <row r="41" ht="17" customHeight="1">
      <c r="A41" s="31" t="n">
        <v>23</v>
      </c>
      <c r="B41" s="32" t="inlineStr">
        <is>
          <t>Zach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18">
        <f>IFERROR(AVERAGEIFS($C$7:$P$7,C41:P41,"Y"),"")</f>
        <v/>
      </c>
      <c r="R41" s="28">
        <f>COUNTIF(C41:P41,"Y")</f>
        <v/>
      </c>
      <c r="S41" s="29">
        <f>SUMPRODUCT((C$7:$P$7=1)*(C41:P41="Y"))*50</f>
        <v/>
      </c>
    </row>
    <row r="42" ht="18" customHeight="1">
      <c r="A42" s="3" t="inlineStr"/>
      <c r="B42" s="36" t="inlineStr">
        <is>
          <t>Total on shift</t>
        </is>
      </c>
      <c r="C42" s="6">
        <f>COUNTIF(C14:C41,"Y")</f>
        <v/>
      </c>
      <c r="D42" s="6">
        <f>COUNTIF(D14:D41,"Y")</f>
        <v/>
      </c>
      <c r="E42" s="6">
        <f>COUNTIF(E14:E41,"Y")</f>
        <v/>
      </c>
      <c r="F42" s="6">
        <f>COUNTIF(F14:F41,"Y")</f>
        <v/>
      </c>
      <c r="G42" s="6">
        <f>COUNTIF(G14:G41,"Y")</f>
        <v/>
      </c>
      <c r="H42" s="6">
        <f>COUNTIF(H14:H41,"Y")</f>
        <v/>
      </c>
      <c r="I42" s="6">
        <f>COUNTIF(I14:I41,"Y")</f>
        <v/>
      </c>
      <c r="J42" s="6">
        <f>COUNTIF(J14:J41,"Y")</f>
        <v/>
      </c>
      <c r="K42" s="6">
        <f>COUNTIF(K14:K41,"Y")</f>
        <v/>
      </c>
      <c r="L42" s="6">
        <f>COUNTIF(L14:L41,"Y")</f>
        <v/>
      </c>
      <c r="M42" s="6">
        <f>COUNTIF(M14:M41,"Y")</f>
        <v/>
      </c>
      <c r="N42" s="6">
        <f>COUNTIF(N14:N41,"Y")</f>
        <v/>
      </c>
      <c r="O42" s="6">
        <f>COUNTIF(O14:O41,"Y")</f>
        <v/>
      </c>
      <c r="P42" s="6">
        <f>COUNTIF(P14:P41,"Y")</f>
        <v/>
      </c>
      <c r="Q42" s="3" t="inlineStr"/>
      <c r="R42" s="6">
        <f>SUM(R14:R41)</f>
        <v/>
      </c>
      <c r="S42" s="37">
        <f>SUM(S14:S41)</f>
        <v/>
      </c>
    </row>
    <row r="43" ht="12" customHeight="1">
      <c r="A43" s="38" t="inlineStr">
        <is>
          <t>Y = on shift during shop's meal window. Personal Avg = average score of shops worked. Bonus = $50 per 100% shop worked.</t>
        </is>
      </c>
    </row>
  </sheetData>
  <mergeCells count="7">
    <mergeCell ref="A43:S43"/>
    <mergeCell ref="A13:S13"/>
    <mergeCell ref="A1:S1"/>
    <mergeCell ref="A17:S17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  <col width="7" customWidth="1" min="15" max="15"/>
    <col width="10" customWidth="1" min="16" max="16"/>
  </cols>
  <sheetData>
    <row r="1" ht="26" customHeight="1">
      <c r="A1" s="1" t="inlineStr">
        <is>
          <t>SECRET SHOPPER SCORES — JUNE 2026</t>
        </is>
      </c>
    </row>
    <row r="2" ht="14" customHeight="1">
      <c r="A2" s="2" t="inlineStr">
        <is>
          <t>Five Guys Store 2065 · Louisville, KY · 11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6" t="inlineStr">
        <is>
          <t>AVG</t>
        </is>
      </c>
      <c r="O4" s="6" t="inlineStr">
        <is>
          <t>N</t>
        </is>
      </c>
      <c r="P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06/02</t>
        </is>
      </c>
      <c r="D5" s="9" t="inlineStr">
        <is>
          <t>06/06</t>
        </is>
      </c>
      <c r="E5" s="9" t="inlineStr">
        <is>
          <t>06/11</t>
        </is>
      </c>
      <c r="F5" s="9" t="inlineStr">
        <is>
          <t>06/14</t>
        </is>
      </c>
      <c r="G5" s="9" t="inlineStr">
        <is>
          <t>06/19</t>
        </is>
      </c>
      <c r="H5" s="9" t="inlineStr">
        <is>
          <t>06/20</t>
        </is>
      </c>
      <c r="I5" s="9" t="inlineStr">
        <is>
          <t>06/21</t>
        </is>
      </c>
      <c r="J5" s="9" t="inlineStr">
        <is>
          <t>06/26</t>
        </is>
      </c>
      <c r="K5" s="9" t="inlineStr">
        <is>
          <t>06/28</t>
        </is>
      </c>
      <c r="L5" s="9" t="inlineStr">
        <is>
          <t>06/02</t>
        </is>
      </c>
      <c r="M5" s="9" t="inlineStr">
        <is>
          <t>06/04</t>
        </is>
      </c>
      <c r="N5" s="7" t="inlineStr"/>
      <c r="O5" s="7" t="inlineStr"/>
      <c r="P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1" t="inlineStr">
        <is>
          <t>L</t>
        </is>
      </c>
      <c r="I6" s="10" t="inlineStr">
        <is>
          <t>LD</t>
        </is>
      </c>
      <c r="J6" s="11" t="inlineStr">
        <is>
          <t>L</t>
        </is>
      </c>
      <c r="K6" s="10" t="inlineStr">
        <is>
          <t>D</t>
        </is>
      </c>
      <c r="L6" s="11" t="inlineStr">
        <is>
          <t>L</t>
        </is>
      </c>
      <c r="M6" s="11" t="inlineStr">
        <is>
          <t>L</t>
        </is>
      </c>
      <c r="N6" s="7" t="inlineStr"/>
      <c r="O6" s="7" t="inlineStr"/>
      <c r="P6" s="7" t="inlineStr"/>
    </row>
    <row r="7" ht="18" customHeight="1">
      <c r="A7" s="12" t="inlineStr"/>
      <c r="B7" s="13" t="inlineStr">
        <is>
          <t>Total Score</t>
        </is>
      </c>
      <c r="C7" s="16" t="n">
        <v>0.39</v>
      </c>
      <c r="D7" s="14" t="n">
        <v>1</v>
      </c>
      <c r="E7" s="16" t="n">
        <v>0.7</v>
      </c>
      <c r="F7" s="14" t="n">
        <v>1</v>
      </c>
      <c r="G7" s="16" t="n">
        <v>0.36</v>
      </c>
      <c r="H7" s="14" t="n">
        <v>1</v>
      </c>
      <c r="I7" s="16" t="n">
        <v>0.7</v>
      </c>
      <c r="J7" s="14" t="n">
        <v>1</v>
      </c>
      <c r="K7" s="14" t="n">
        <v>1</v>
      </c>
      <c r="L7" s="17" t="n">
        <v>0.95</v>
      </c>
      <c r="M7" s="14" t="n">
        <v>1</v>
      </c>
      <c r="N7" s="18">
        <f>IFERROR(AVERAGE(C7:M7),"")</f>
        <v/>
      </c>
      <c r="O7" s="12" t="inlineStr"/>
      <c r="P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21">
        <f>IFERROR(AVERAGE(C8:M8),"")</f>
        <v/>
      </c>
      <c r="O8" s="19" t="inlineStr"/>
      <c r="P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21">
        <f>IFERROR(AVERAGE(C9:M9),"")</f>
        <v/>
      </c>
      <c r="O9" s="19" t="inlineStr"/>
      <c r="P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21">
        <f>IFERROR(AVERAGE(C10:M10),"")</f>
        <v/>
      </c>
      <c r="O10" s="19" t="inlineStr"/>
      <c r="P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21">
        <f>IFERROR(AVERAGE(C11:M11),"")</f>
        <v/>
      </c>
      <c r="O11" s="19" t="inlineStr"/>
      <c r="P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Vicki L.</t>
        </is>
      </c>
      <c r="C14" s="26" t="n"/>
      <c r="D14" s="27" t="inlineStr">
        <is>
          <t>Y</t>
        </is>
      </c>
      <c r="E14" s="26" t="n"/>
      <c r="F14" s="26" t="n"/>
      <c r="G14" s="26" t="n"/>
      <c r="H14" s="27" t="inlineStr">
        <is>
          <t>Y</t>
        </is>
      </c>
      <c r="I14" s="26" t="n"/>
      <c r="J14" s="27" t="inlineStr">
        <is>
          <t>Y</t>
        </is>
      </c>
      <c r="K14" s="26" t="n"/>
      <c r="L14" s="27" t="inlineStr">
        <is>
          <t>Y</t>
        </is>
      </c>
      <c r="M14" s="27" t="inlineStr">
        <is>
          <t>Y</t>
        </is>
      </c>
      <c r="N14" s="18">
        <f>IFERROR(AVERAGEIFS($C$7:$M$7,C14:M14,"Y"),"")</f>
        <v/>
      </c>
      <c r="O14" s="28">
        <f>COUNTIF(C14:M14,"Y")</f>
        <v/>
      </c>
      <c r="P14" s="29">
        <f>SUMPRODUCT((C$7:$M$7=1)*(C14:M14="Y"))*50</f>
        <v/>
      </c>
    </row>
    <row r="15" ht="17" customHeight="1">
      <c r="A15" s="24" t="n">
        <v>2</v>
      </c>
      <c r="B15" s="25" t="inlineStr">
        <is>
          <t>Kasey W.</t>
        </is>
      </c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18">
        <f>IFERROR(AVERAGEIFS($C$7:$M$7,C15:M15,"Y"),"")</f>
        <v/>
      </c>
      <c r="O15" s="28">
        <f>COUNTIF(C15:M15,"Y")</f>
        <v/>
      </c>
      <c r="P15" s="29">
        <f>SUMPRODUCT((C$7:$M$7=1)*(C15:M15="Y"))*50</f>
        <v/>
      </c>
    </row>
    <row r="16" ht="17" customHeight="1">
      <c r="A16" s="24" t="n">
        <v>3</v>
      </c>
      <c r="B16" s="25" t="inlineStr">
        <is>
          <t>Nathan R.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18">
        <f>IFERROR(AVERAGEIFS($C$7:$M$7,C16:M16,"Y"),"")</f>
        <v/>
      </c>
      <c r="O16" s="28">
        <f>COUNTIF(C16:M16,"Y")</f>
        <v/>
      </c>
      <c r="P16" s="29">
        <f>SUMPRODUCT((C$7:$M$7=1)*(C16:M16="Y"))*50</f>
        <v/>
      </c>
    </row>
    <row r="17" ht="6" customHeight="1">
      <c r="A17" s="22" t="n"/>
    </row>
    <row r="18" ht="18" customHeight="1">
      <c r="A18" s="30" t="inlineStr">
        <is>
          <t>CREW</t>
        </is>
      </c>
    </row>
    <row r="19" ht="17" customHeight="1">
      <c r="A19" s="31" t="n">
        <v>1</v>
      </c>
      <c r="B19" s="32" t="inlineStr">
        <is>
          <t>Alen</t>
        </is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18">
        <f>IFERROR(AVERAGEIFS($C$7:$M$7,C19:M19,"Y"),"")</f>
        <v/>
      </c>
      <c r="O19" s="28">
        <f>COUNTIF(C19:M19,"Y")</f>
        <v/>
      </c>
      <c r="P19" s="29">
        <f>SUMPRODUCT((C$7:$M$7=1)*(C19:M19="Y"))*50</f>
        <v/>
      </c>
    </row>
    <row r="20" ht="17" customHeight="1">
      <c r="A20" s="34" t="n">
        <v>2</v>
      </c>
      <c r="B20" s="35" t="inlineStr">
        <is>
          <t>Anthony</t>
        </is>
      </c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8">
        <f>IFERROR(AVERAGEIFS($C$7:$M$7,C20:M20,"Y"),"")</f>
        <v/>
      </c>
      <c r="O20" s="28">
        <f>COUNTIF(C20:M20,"Y")</f>
        <v/>
      </c>
      <c r="P20" s="29">
        <f>SUMPRODUCT((C$7:$M$7=1)*(C20:M20="Y"))*50</f>
        <v/>
      </c>
    </row>
    <row r="21" ht="17" customHeight="1">
      <c r="A21" s="31" t="n">
        <v>3</v>
      </c>
      <c r="B21" s="32" t="inlineStr">
        <is>
          <t>Ash</t>
        </is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18">
        <f>IFERROR(AVERAGEIFS($C$7:$M$7,C21:M21,"Y"),"")</f>
        <v/>
      </c>
      <c r="O21" s="28">
        <f>COUNTIF(C21:M21,"Y")</f>
        <v/>
      </c>
      <c r="P21" s="29">
        <f>SUMPRODUCT((C$7:$M$7=1)*(C21:M21="Y"))*50</f>
        <v/>
      </c>
    </row>
    <row r="22" ht="17" customHeight="1">
      <c r="A22" s="34" t="n">
        <v>4</v>
      </c>
      <c r="B22" s="35" t="inlineStr">
        <is>
          <t>Autumn</t>
        </is>
      </c>
      <c r="C22" s="19" t="n"/>
      <c r="D22" s="19" t="n"/>
      <c r="E22" s="27" t="inlineStr">
        <is>
          <t>Y</t>
        </is>
      </c>
      <c r="F22" s="19" t="n"/>
      <c r="G22" s="19" t="n"/>
      <c r="H22" s="19" t="n"/>
      <c r="I22" s="19" t="n"/>
      <c r="J22" s="19" t="n"/>
      <c r="K22" s="19" t="n"/>
      <c r="L22" s="19" t="n"/>
      <c r="M22" s="19" t="n"/>
      <c r="N22" s="18">
        <f>IFERROR(AVERAGEIFS($C$7:$M$7,C22:M22,"Y"),"")</f>
        <v/>
      </c>
      <c r="O22" s="28">
        <f>COUNTIF(C22:M22,"Y")</f>
        <v/>
      </c>
      <c r="P22" s="29">
        <f>SUMPRODUCT((C$7:$M$7=1)*(C22:M22="Y"))*50</f>
        <v/>
      </c>
    </row>
    <row r="23" ht="17" customHeight="1">
      <c r="A23" s="31" t="n">
        <v>5</v>
      </c>
      <c r="B23" s="32" t="inlineStr">
        <is>
          <t>Bri</t>
        </is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27" t="inlineStr">
        <is>
          <t>Y</t>
        </is>
      </c>
      <c r="N23" s="18">
        <f>IFERROR(AVERAGEIFS($C$7:$M$7,C23:M23,"Y"),"")</f>
        <v/>
      </c>
      <c r="O23" s="28">
        <f>COUNTIF(C23:M23,"Y")</f>
        <v/>
      </c>
      <c r="P23" s="29">
        <f>SUMPRODUCT((C$7:$M$7=1)*(C23:M23="Y"))*50</f>
        <v/>
      </c>
    </row>
    <row r="24" ht="17" customHeight="1">
      <c r="A24" s="34" t="n">
        <v>6</v>
      </c>
      <c r="B24" s="35" t="inlineStr">
        <is>
          <t>Dakayla</t>
        </is>
      </c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8">
        <f>IFERROR(AVERAGEIFS($C$7:$M$7,C24:M24,"Y"),"")</f>
        <v/>
      </c>
      <c r="O24" s="28">
        <f>COUNTIF(C24:M24,"Y")</f>
        <v/>
      </c>
      <c r="P24" s="29">
        <f>SUMPRODUCT((C$7:$M$7=1)*(C24:M24="Y"))*50</f>
        <v/>
      </c>
    </row>
    <row r="25" ht="17" customHeight="1">
      <c r="A25" s="31" t="n">
        <v>7</v>
      </c>
      <c r="B25" s="32" t="inlineStr">
        <is>
          <t>Damon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18">
        <f>IFERROR(AVERAGEIFS($C$7:$M$7,C25:M25,"Y"),"")</f>
        <v/>
      </c>
      <c r="O25" s="28">
        <f>COUNTIF(C25:M25,"Y")</f>
        <v/>
      </c>
      <c r="P25" s="29">
        <f>SUMPRODUCT((C$7:$M$7=1)*(C25:M25="Y"))*50</f>
        <v/>
      </c>
    </row>
    <row r="26" ht="17" customHeight="1">
      <c r="A26" s="34" t="n">
        <v>8</v>
      </c>
      <c r="B26" s="35" t="inlineStr">
        <is>
          <t>Divan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8">
        <f>IFERROR(AVERAGEIFS($C$7:$M$7,C26:M26,"Y"),"")</f>
        <v/>
      </c>
      <c r="O26" s="28">
        <f>COUNTIF(C26:M26,"Y")</f>
        <v/>
      </c>
      <c r="P26" s="29">
        <f>SUMPRODUCT((C$7:$M$7=1)*(C26:M26="Y"))*50</f>
        <v/>
      </c>
    </row>
    <row r="27" ht="17" customHeight="1">
      <c r="A27" s="31" t="n">
        <v>9</v>
      </c>
      <c r="B27" s="32" t="inlineStr">
        <is>
          <t>Francisco</t>
        </is>
      </c>
      <c r="C27" s="33" t="n"/>
      <c r="D27" s="33" t="n"/>
      <c r="E27" s="27" t="inlineStr">
        <is>
          <t>Y</t>
        </is>
      </c>
      <c r="F27" s="33" t="n"/>
      <c r="G27" s="33" t="n"/>
      <c r="H27" s="33" t="n"/>
      <c r="I27" s="33" t="n"/>
      <c r="J27" s="33" t="n"/>
      <c r="K27" s="27" t="inlineStr">
        <is>
          <t>Y</t>
        </is>
      </c>
      <c r="L27" s="27" t="inlineStr">
        <is>
          <t>Y</t>
        </is>
      </c>
      <c r="M27" s="33" t="n"/>
      <c r="N27" s="18">
        <f>IFERROR(AVERAGEIFS($C$7:$M$7,C27:M27,"Y"),"")</f>
        <v/>
      </c>
      <c r="O27" s="28">
        <f>COUNTIF(C27:M27,"Y")</f>
        <v/>
      </c>
      <c r="P27" s="29">
        <f>SUMPRODUCT((C$7:$M$7=1)*(C27:M27="Y"))*50</f>
        <v/>
      </c>
    </row>
    <row r="28" ht="17" customHeight="1">
      <c r="A28" s="34" t="n">
        <v>10</v>
      </c>
      <c r="B28" s="35" t="inlineStr">
        <is>
          <t>Grace</t>
        </is>
      </c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8">
        <f>IFERROR(AVERAGEIFS($C$7:$M$7,C28:M28,"Y"),"")</f>
        <v/>
      </c>
      <c r="O28" s="28">
        <f>COUNTIF(C28:M28,"Y")</f>
        <v/>
      </c>
      <c r="P28" s="29">
        <f>SUMPRODUCT((C$7:$M$7=1)*(C28:M28="Y"))*50</f>
        <v/>
      </c>
    </row>
    <row r="29" ht="17" customHeight="1">
      <c r="A29" s="31" t="n">
        <v>11</v>
      </c>
      <c r="B29" s="32" t="inlineStr">
        <is>
          <t>Jada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18">
        <f>IFERROR(AVERAGEIFS($C$7:$M$7,C29:M29,"Y"),"")</f>
        <v/>
      </c>
      <c r="O29" s="28">
        <f>COUNTIF(C29:M29,"Y")</f>
        <v/>
      </c>
      <c r="P29" s="29">
        <f>SUMPRODUCT((C$7:$M$7=1)*(C29:M29="Y"))*50</f>
        <v/>
      </c>
    </row>
    <row r="30" ht="17" customHeight="1">
      <c r="A30" s="34" t="n">
        <v>12</v>
      </c>
      <c r="B30" s="35" t="inlineStr">
        <is>
          <t>Jeremiah</t>
        </is>
      </c>
      <c r="C30" s="27" t="inlineStr">
        <is>
          <t>Y</t>
        </is>
      </c>
      <c r="D30" s="19" t="n"/>
      <c r="E30" s="19" t="n"/>
      <c r="F30" s="19" t="n"/>
      <c r="G30" s="19" t="n"/>
      <c r="H30" s="19" t="n"/>
      <c r="I30" s="27" t="inlineStr">
        <is>
          <t>Y</t>
        </is>
      </c>
      <c r="J30" s="19" t="n"/>
      <c r="K30" s="27" t="inlineStr">
        <is>
          <t>Y</t>
        </is>
      </c>
      <c r="L30" s="19" t="n"/>
      <c r="M30" s="19" t="n"/>
      <c r="N30" s="18">
        <f>IFERROR(AVERAGEIFS($C$7:$M$7,C30:M30,"Y"),"")</f>
        <v/>
      </c>
      <c r="O30" s="28">
        <f>COUNTIF(C30:M30,"Y")</f>
        <v/>
      </c>
      <c r="P30" s="29">
        <f>SUMPRODUCT((C$7:$M$7=1)*(C30:M30="Y"))*50</f>
        <v/>
      </c>
    </row>
    <row r="31" ht="17" customHeight="1">
      <c r="A31" s="31" t="n">
        <v>13</v>
      </c>
      <c r="B31" s="32" t="inlineStr">
        <is>
          <t>Kable</t>
        </is>
      </c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18">
        <f>IFERROR(AVERAGEIFS($C$7:$M$7,C31:M31,"Y"),"")</f>
        <v/>
      </c>
      <c r="O31" s="28">
        <f>COUNTIF(C31:M31,"Y")</f>
        <v/>
      </c>
      <c r="P31" s="29">
        <f>SUMPRODUCT((C$7:$M$7=1)*(C31:M31="Y"))*50</f>
        <v/>
      </c>
    </row>
    <row r="32" ht="17" customHeight="1">
      <c r="A32" s="34" t="n">
        <v>14</v>
      </c>
      <c r="B32" s="35" t="inlineStr">
        <is>
          <t>Kayla</t>
        </is>
      </c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8">
        <f>IFERROR(AVERAGEIFS($C$7:$M$7,C32:M32,"Y"),"")</f>
        <v/>
      </c>
      <c r="O32" s="28">
        <f>COUNTIF(C32:M32,"Y")</f>
        <v/>
      </c>
      <c r="P32" s="29">
        <f>SUMPRODUCT((C$7:$M$7=1)*(C32:M32="Y"))*50</f>
        <v/>
      </c>
    </row>
    <row r="33" ht="17" customHeight="1">
      <c r="A33" s="31" t="n">
        <v>15</v>
      </c>
      <c r="B33" s="32" t="inlineStr">
        <is>
          <t>Kenzie</t>
        </is>
      </c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18">
        <f>IFERROR(AVERAGEIFS($C$7:$M$7,C33:M33,"Y"),"")</f>
        <v/>
      </c>
      <c r="O33" s="28">
        <f>COUNTIF(C33:M33,"Y")</f>
        <v/>
      </c>
      <c r="P33" s="29">
        <f>SUMPRODUCT((C$7:$M$7=1)*(C33:M33="Y"))*50</f>
        <v/>
      </c>
    </row>
    <row r="34" ht="17" customHeight="1">
      <c r="A34" s="34" t="n">
        <v>16</v>
      </c>
      <c r="B34" s="35" t="inlineStr">
        <is>
          <t>Lidy</t>
        </is>
      </c>
      <c r="C34" s="19" t="n"/>
      <c r="D34" s="27" t="inlineStr">
        <is>
          <t>Y</t>
        </is>
      </c>
      <c r="E34" s="19" t="n"/>
      <c r="F34" s="27" t="inlineStr">
        <is>
          <t>Y</t>
        </is>
      </c>
      <c r="G34" s="19" t="n"/>
      <c r="H34" s="27" t="inlineStr">
        <is>
          <t>Y</t>
        </is>
      </c>
      <c r="I34" s="19" t="n"/>
      <c r="J34" s="27" t="inlineStr">
        <is>
          <t>Y</t>
        </is>
      </c>
      <c r="K34" s="19" t="n"/>
      <c r="L34" s="27" t="inlineStr">
        <is>
          <t>Y</t>
        </is>
      </c>
      <c r="M34" s="27" t="inlineStr">
        <is>
          <t>Y</t>
        </is>
      </c>
      <c r="N34" s="18">
        <f>IFERROR(AVERAGEIFS($C$7:$M$7,C34:M34,"Y"),"")</f>
        <v/>
      </c>
      <c r="O34" s="28">
        <f>COUNTIF(C34:M34,"Y")</f>
        <v/>
      </c>
      <c r="P34" s="29">
        <f>SUMPRODUCT((C$7:$M$7=1)*(C34:M34="Y"))*50</f>
        <v/>
      </c>
    </row>
    <row r="35" ht="17" customHeight="1">
      <c r="A35" s="31" t="n">
        <v>17</v>
      </c>
      <c r="B35" s="32" t="inlineStr">
        <is>
          <t>Maylin</t>
        </is>
      </c>
      <c r="C35" s="27" t="inlineStr">
        <is>
          <t>Y</t>
        </is>
      </c>
      <c r="D35" s="27" t="inlineStr">
        <is>
          <t>Y</t>
        </is>
      </c>
      <c r="E35" s="33" t="n"/>
      <c r="F35" s="33" t="n"/>
      <c r="G35" s="33" t="n"/>
      <c r="H35" s="33" t="n"/>
      <c r="I35" s="33" t="n"/>
      <c r="J35" s="33" t="n"/>
      <c r="K35" s="27" t="inlineStr">
        <is>
          <t>Y</t>
        </is>
      </c>
      <c r="L35" s="33" t="n"/>
      <c r="M35" s="33" t="n"/>
      <c r="N35" s="18">
        <f>IFERROR(AVERAGEIFS($C$7:$M$7,C35:M35,"Y"),"")</f>
        <v/>
      </c>
      <c r="O35" s="28">
        <f>COUNTIF(C35:M35,"Y")</f>
        <v/>
      </c>
      <c r="P35" s="29">
        <f>SUMPRODUCT((C$7:$M$7=1)*(C35:M35="Y"))*50</f>
        <v/>
      </c>
    </row>
    <row r="36" ht="17" customHeight="1">
      <c r="A36" s="34" t="n">
        <v>18</v>
      </c>
      <c r="B36" s="35" t="inlineStr">
        <is>
          <t>Mike</t>
        </is>
      </c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8">
        <f>IFERROR(AVERAGEIFS($C$7:$M$7,C36:M36,"Y"),"")</f>
        <v/>
      </c>
      <c r="O36" s="28">
        <f>COUNTIF(C36:M36,"Y")</f>
        <v/>
      </c>
      <c r="P36" s="29">
        <f>SUMPRODUCT((C$7:$M$7=1)*(C36:M36="Y"))*50</f>
        <v/>
      </c>
    </row>
    <row r="37" ht="17" customHeight="1">
      <c r="A37" s="31" t="n">
        <v>19</v>
      </c>
      <c r="B37" s="32" t="inlineStr">
        <is>
          <t>Nyatiek</t>
        </is>
      </c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18">
        <f>IFERROR(AVERAGEIFS($C$7:$M$7,C37:M37,"Y"),"")</f>
        <v/>
      </c>
      <c r="O37" s="28">
        <f>COUNTIF(C37:M37,"Y")</f>
        <v/>
      </c>
      <c r="P37" s="29">
        <f>SUMPRODUCT((C$7:$M$7=1)*(C37:M37="Y"))*50</f>
        <v/>
      </c>
    </row>
    <row r="38" ht="17" customHeight="1">
      <c r="A38" s="34" t="n">
        <v>20</v>
      </c>
      <c r="B38" s="35" t="inlineStr">
        <is>
          <t>Richard</t>
        </is>
      </c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8">
        <f>IFERROR(AVERAGEIFS($C$7:$M$7,C38:M38,"Y"),"")</f>
        <v/>
      </c>
      <c r="O38" s="28">
        <f>COUNTIF(C38:M38,"Y")</f>
        <v/>
      </c>
      <c r="P38" s="29">
        <f>SUMPRODUCT((C$7:$M$7=1)*(C38:M38="Y"))*50</f>
        <v/>
      </c>
    </row>
    <row r="39" ht="17" customHeight="1">
      <c r="A39" s="31" t="n">
        <v>21</v>
      </c>
      <c r="B39" s="32" t="inlineStr">
        <is>
          <t>Ryan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18">
        <f>IFERROR(AVERAGEIFS($C$7:$M$7,C39:M39,"Y"),"")</f>
        <v/>
      </c>
      <c r="O39" s="28">
        <f>COUNTIF(C39:M39,"Y")</f>
        <v/>
      </c>
      <c r="P39" s="29">
        <f>SUMPRODUCT((C$7:$M$7=1)*(C39:M39="Y"))*50</f>
        <v/>
      </c>
    </row>
    <row r="40" ht="17" customHeight="1">
      <c r="A40" s="34" t="n">
        <v>22</v>
      </c>
      <c r="B40" s="35" t="inlineStr">
        <is>
          <t>Samuel</t>
        </is>
      </c>
      <c r="C40" s="27" t="inlineStr">
        <is>
          <t>Y</t>
        </is>
      </c>
      <c r="D40" s="19" t="n"/>
      <c r="E40" s="19" t="n"/>
      <c r="F40" s="19" t="n"/>
      <c r="G40" s="27" t="inlineStr">
        <is>
          <t>Y</t>
        </is>
      </c>
      <c r="H40" s="19" t="n"/>
      <c r="I40" s="27" t="inlineStr">
        <is>
          <t>Y</t>
        </is>
      </c>
      <c r="J40" s="19" t="n"/>
      <c r="K40" s="27" t="inlineStr">
        <is>
          <t>Y</t>
        </is>
      </c>
      <c r="L40" s="19" t="n"/>
      <c r="M40" s="19" t="n"/>
      <c r="N40" s="18">
        <f>IFERROR(AVERAGEIFS($C$7:$M$7,C40:M40,"Y"),"")</f>
        <v/>
      </c>
      <c r="O40" s="28">
        <f>COUNTIF(C40:M40,"Y")</f>
        <v/>
      </c>
      <c r="P40" s="29">
        <f>SUMPRODUCT((C$7:$M$7=1)*(C40:M40="Y"))*50</f>
        <v/>
      </c>
    </row>
    <row r="41" ht="17" customHeight="1">
      <c r="A41" s="31" t="n">
        <v>23</v>
      </c>
      <c r="B41" s="32" t="inlineStr">
        <is>
          <t>Zach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18">
        <f>IFERROR(AVERAGEIFS($C$7:$M$7,C41:M41,"Y"),"")</f>
        <v/>
      </c>
      <c r="O41" s="28">
        <f>COUNTIF(C41:M41,"Y")</f>
        <v/>
      </c>
      <c r="P41" s="29">
        <f>SUMPRODUCT((C$7:$M$7=1)*(C41:M41="Y"))*50</f>
        <v/>
      </c>
    </row>
    <row r="42" ht="18" customHeight="1">
      <c r="A42" s="3" t="inlineStr"/>
      <c r="B42" s="36" t="inlineStr">
        <is>
          <t>Total on shift</t>
        </is>
      </c>
      <c r="C42" s="6">
        <f>COUNTIF(C14:C41,"Y")</f>
        <v/>
      </c>
      <c r="D42" s="6">
        <f>COUNTIF(D14:D41,"Y")</f>
        <v/>
      </c>
      <c r="E42" s="6">
        <f>COUNTIF(E14:E41,"Y")</f>
        <v/>
      </c>
      <c r="F42" s="6">
        <f>COUNTIF(F14:F41,"Y")</f>
        <v/>
      </c>
      <c r="G42" s="6">
        <f>COUNTIF(G14:G41,"Y")</f>
        <v/>
      </c>
      <c r="H42" s="6">
        <f>COUNTIF(H14:H41,"Y")</f>
        <v/>
      </c>
      <c r="I42" s="6">
        <f>COUNTIF(I14:I41,"Y")</f>
        <v/>
      </c>
      <c r="J42" s="6">
        <f>COUNTIF(J14:J41,"Y")</f>
        <v/>
      </c>
      <c r="K42" s="6">
        <f>COUNTIF(K14:K41,"Y")</f>
        <v/>
      </c>
      <c r="L42" s="6">
        <f>COUNTIF(L14:L41,"Y")</f>
        <v/>
      </c>
      <c r="M42" s="6">
        <f>COUNTIF(M14:M41,"Y")</f>
        <v/>
      </c>
      <c r="N42" s="3" t="inlineStr"/>
      <c r="O42" s="6">
        <f>SUM(O14:O41)</f>
        <v/>
      </c>
      <c r="P42" s="37">
        <f>SUM(P14:P41)</f>
        <v/>
      </c>
    </row>
    <row r="43" ht="12" customHeight="1">
      <c r="A43" s="38" t="inlineStr">
        <is>
          <t>Y = on shift during shop's meal window. Personal Avg = average score of shops worked. Bonus = $50 per 100% shop worked.</t>
        </is>
      </c>
    </row>
  </sheetData>
  <mergeCells count="7">
    <mergeCell ref="A13:P13"/>
    <mergeCell ref="A1:P1"/>
    <mergeCell ref="A17:P17"/>
    <mergeCell ref="A18:P18"/>
    <mergeCell ref="A12:P12"/>
    <mergeCell ref="A43:P43"/>
    <mergeCell ref="A2:P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2026-06-12T20:10:41Z</dcterms:created>
  <dcterms:modified xmlns:dcterms="http://purl.org/dc/terms/" xmlns:xsi="http://www.w3.org/2001/XMLSchema-instance" xsi:type="dcterms:W3CDTF">2026-06-12T20:10:42Z</dcterms:modified>
</cp:coreProperties>
</file>